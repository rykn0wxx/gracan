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hidePivotFieldList="1" defaultThemeVersion="166925"/>
  <mc:AlternateContent xmlns:mc="http://schemas.openxmlformats.org/markup-compatibility/2006">
    <mc:Choice Requires="x15">
      <x15ac:absPath xmlns:x15ac="http://schemas.microsoft.com/office/spreadsheetml/2010/11/ac" url="C:\Users\ACANTUBA\OneDrive - Schenker AG\Desktop\Reporting Files\10. Time in motion\"/>
    </mc:Choice>
  </mc:AlternateContent>
  <xr:revisionPtr revIDLastSave="0" documentId="10_ncr:100000_{24016AE6-105C-4DC3-8FA5-A5CD129A1C22}" xr6:coauthVersionLast="31" xr6:coauthVersionMax="31" xr10:uidLastSave="{00000000-0000-0000-0000-000000000000}"/>
  <bookViews>
    <workbookView xWindow="0" yWindow="0" windowWidth="20490" windowHeight="7245" firstSheet="1" activeTab="1" xr2:uid="{00FE9CDB-D109-4DDE-81FC-5A83850F575B}"/>
  </bookViews>
  <sheets>
    <sheet name="Data_Types" sheetId="3" state="hidden" r:id="rId1"/>
    <sheet name="Summary" sheetId="6" r:id="rId2"/>
    <sheet name="main" sheetId="5" r:id="rId3"/>
    <sheet name="database" sheetId="4" r:id="rId4"/>
    <sheet name="REF" sheetId="1" state="hidden" r:id="rId5"/>
    <sheet name="Roster" sheetId="2" state="hidden" r:id="rId6"/>
  </sheets>
  <definedNames>
    <definedName name="_xlnm._FilterDatabase" localSheetId="5" hidden="1">Roster!$A$1:$E$45</definedName>
    <definedName name="Activity">REF!$E$5:$E$12</definedName>
    <definedName name="hrFunction">REF!$B$6:$B$10</definedName>
    <definedName name="Slicer_Month">#N/A</definedName>
    <definedName name="Slicer_Quarter">#N/A</definedName>
    <definedName name="Slicer_Shift_Date">#N/A</definedName>
    <definedName name="Slicer_WE">#N/A</definedName>
    <definedName name="Slicer_Year">#N/A</definedName>
  </definedNames>
  <calcPr calcId="179017"/>
  <pivotCaches>
    <pivotCache cacheId="1312" r:id="rId7"/>
  </pivotCaches>
  <extLst>
    <ext xmlns:x14="http://schemas.microsoft.com/office/spreadsheetml/2009/9/main" uri="{BBE1A952-AA13-448e-AADC-164F8A28A991}">
      <x14:slicerCaches>
        <x14:slicerCache r:id="rId8"/>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2" i="4" l="1"/>
  <c r="F3" i="4"/>
  <c r="F4" i="4"/>
  <c r="E2" i="4"/>
  <c r="E3" i="4"/>
  <c r="E4" i="4"/>
  <c r="G4" i="4"/>
  <c r="H4" i="4"/>
  <c r="I4" i="4" s="1"/>
  <c r="G3" i="4"/>
  <c r="H3" i="4"/>
  <c r="I3" i="4" s="1"/>
  <c r="L4" i="4" l="1"/>
  <c r="M4" i="4"/>
  <c r="N4" i="4"/>
  <c r="O4" i="4"/>
  <c r="K4" i="4"/>
  <c r="J4" i="4"/>
  <c r="M3" i="4"/>
  <c r="N3" i="4"/>
  <c r="O3" i="4"/>
  <c r="K3" i="4"/>
  <c r="L3" i="4"/>
  <c r="J3" i="4"/>
  <c r="G2" i="4" l="1"/>
  <c r="O2" i="4" s="1"/>
  <c r="H2" i="4"/>
  <c r="M2" i="4" l="1"/>
  <c r="N2" i="4"/>
  <c r="K2" i="4"/>
  <c r="L2" i="4"/>
  <c r="I2" i="4"/>
  <c r="J2" i="4"/>
</calcChain>
</file>

<file path=xl/sharedStrings.xml><?xml version="1.0" encoding="utf-8"?>
<sst xmlns="http://schemas.openxmlformats.org/spreadsheetml/2006/main" count="351" uniqueCount="178">
  <si>
    <t>UserID</t>
  </si>
  <si>
    <t>Activity</t>
  </si>
  <si>
    <t>Function</t>
  </si>
  <si>
    <t>Learning Admin</t>
  </si>
  <si>
    <t>Service Desk</t>
  </si>
  <si>
    <t>Drop-down list</t>
  </si>
  <si>
    <t>Available</t>
  </si>
  <si>
    <t>Work Mode</t>
  </si>
  <si>
    <t>Outbound</t>
  </si>
  <si>
    <t>Meeting</t>
  </si>
  <si>
    <t>On Break</t>
  </si>
  <si>
    <t>Lunch</t>
  </si>
  <si>
    <t>Training</t>
  </si>
  <si>
    <t>Downtime/Technical Issue</t>
  </si>
  <si>
    <t>Free-text</t>
  </si>
  <si>
    <t>Notes</t>
  </si>
  <si>
    <t>Employee ID</t>
  </si>
  <si>
    <t>Name</t>
  </si>
  <si>
    <t>Team Lead</t>
  </si>
  <si>
    <t>HR Tower</t>
  </si>
  <si>
    <t>Designation</t>
  </si>
  <si>
    <t>Gwen Nikka Sanchez</t>
  </si>
  <si>
    <t>Bjorn John Buela</t>
  </si>
  <si>
    <t>HR WFA</t>
  </si>
  <si>
    <t>HR Associate</t>
  </si>
  <si>
    <t>Nur Jannah Barandia</t>
  </si>
  <si>
    <t>HR Controlling &amp; Reporting</t>
  </si>
  <si>
    <t>Lara Krizia De Leon</t>
  </si>
  <si>
    <t>Paula Mae Alexis Rabot</t>
  </si>
  <si>
    <t>Jobelle Acot-Acot</t>
  </si>
  <si>
    <t>HR Communications</t>
  </si>
  <si>
    <t>Mae Terese Cabison</t>
  </si>
  <si>
    <t>Agape Grace Cantuba</t>
  </si>
  <si>
    <t>Jeneva Paulin Meneses</t>
  </si>
  <si>
    <t>Marc Francesco Pobre</t>
  </si>
  <si>
    <t>Ghiezelle Anne Reyes</t>
  </si>
  <si>
    <t>Joelyn Taneo</t>
  </si>
  <si>
    <t>Judith Molina</t>
  </si>
  <si>
    <t>Marygrace Hazel Gundaya</t>
  </si>
  <si>
    <t>Sheena Mae Dimasuhid</t>
  </si>
  <si>
    <t>Arnileth Reyes</t>
  </si>
  <si>
    <t>HR Learning Admin Services</t>
  </si>
  <si>
    <t>Czarmiane Estandarte</t>
  </si>
  <si>
    <t>HR Sr. Associate</t>
  </si>
  <si>
    <t>Hannah Grace Flores</t>
  </si>
  <si>
    <t>Cheryll Francisco</t>
  </si>
  <si>
    <t>Mobility, Payroll &amp; Total Rewards</t>
  </si>
  <si>
    <t>Emmanuel Jose Lopez</t>
  </si>
  <si>
    <t>Esperanza Dapul</t>
  </si>
  <si>
    <t>Faye Andrea  Cayab</t>
  </si>
  <si>
    <t>Johanna Ruth Maliberan</t>
  </si>
  <si>
    <t>Maria Lourdes Rodriguez</t>
  </si>
  <si>
    <t>Ron Joseph Hidalgo</t>
  </si>
  <si>
    <t>Aldin Gutierrez</t>
  </si>
  <si>
    <t>Angela Rae Palmon</t>
  </si>
  <si>
    <t>Chermaine Tablizo</t>
  </si>
  <si>
    <t>Claudine Esternon</t>
  </si>
  <si>
    <t>Ivanka Patricia Quinial</t>
  </si>
  <si>
    <t>Nadine Krisia Nillo</t>
  </si>
  <si>
    <t>Nicole Meliza Ann Abella</t>
  </si>
  <si>
    <t>Arlyn Precious Nava</t>
  </si>
  <si>
    <t>HR Advisory &amp; Service Desk</t>
  </si>
  <si>
    <t>Camille Angelica Giron</t>
  </si>
  <si>
    <t>Erwin Javier</t>
  </si>
  <si>
    <t>Francisco De Jesus Jr.</t>
  </si>
  <si>
    <t>Mark-Darrel Contreras</t>
  </si>
  <si>
    <t>Shielito Marie Briones</t>
  </si>
  <si>
    <t>Marjorie Meroy</t>
  </si>
  <si>
    <t>Hr Associate</t>
  </si>
  <si>
    <t xml:space="preserve">Cornelio Pastolero </t>
  </si>
  <si>
    <t>Pearl Ann Ferwelo</t>
  </si>
  <si>
    <t>eRecruitment</t>
  </si>
  <si>
    <t>Susana Eloida Grace Abaya</t>
  </si>
  <si>
    <t>Carmela Villamor</t>
  </si>
  <si>
    <t>-</t>
  </si>
  <si>
    <t>Beatrice Ann Balcom</t>
  </si>
  <si>
    <t>Ronald Magos</t>
  </si>
  <si>
    <t>Renz Manuel Samodio</t>
  </si>
  <si>
    <t>Grace Anne Mendoza</t>
  </si>
  <si>
    <t>Lovely Claudine Batas</t>
  </si>
  <si>
    <t>Rochelle Comille</t>
  </si>
  <si>
    <t>Aurianne Nicole Ramos</t>
  </si>
  <si>
    <t>Ticket Number</t>
  </si>
  <si>
    <t>Emp Name</t>
  </si>
  <si>
    <t>label - auto fill</t>
  </si>
  <si>
    <t>Single</t>
  </si>
  <si>
    <t>String</t>
  </si>
  <si>
    <t>Double</t>
  </si>
  <si>
    <t>########</t>
  </si>
  <si>
    <t>And</t>
  </si>
  <si>
    <t>As</t>
  </si>
  <si>
    <t>Boolean</t>
  </si>
  <si>
    <t>ByRef</t>
  </si>
  <si>
    <t>Byte</t>
  </si>
  <si>
    <t>ByVal</t>
  </si>
  <si>
    <t>Call</t>
  </si>
  <si>
    <t>Case</t>
  </si>
  <si>
    <t>CBool</t>
  </si>
  <si>
    <t>CByte</t>
  </si>
  <si>
    <t>CDate</t>
  </si>
  <si>
    <t>CDbl</t>
  </si>
  <si>
    <t>CInt</t>
  </si>
  <si>
    <t>CLng</t>
  </si>
  <si>
    <t>Const</t>
  </si>
  <si>
    <t>CSng</t>
  </si>
  <si>
    <t>CStr</t>
  </si>
  <si>
    <t>Date</t>
  </si>
  <si>
    <t>Dim</t>
  </si>
  <si>
    <t>Do</t>
  </si>
  <si>
    <t>Each</t>
  </si>
  <si>
    <t>Else</t>
  </si>
  <si>
    <t>ElseIf</t>
  </si>
  <si>
    <t>End</t>
  </si>
  <si>
    <t>EndIf</t>
  </si>
  <si>
    <t>Error</t>
  </si>
  <si>
    <t>For</t>
  </si>
  <si>
    <t>Get</t>
  </si>
  <si>
    <t>GoTo</t>
  </si>
  <si>
    <t>If</t>
  </si>
  <si>
    <t>Integer</t>
  </si>
  <si>
    <t>Let</t>
  </si>
  <si>
    <t>Lib</t>
  </si>
  <si>
    <t>Long</t>
  </si>
  <si>
    <t>Loop</t>
  </si>
  <si>
    <t>Me</t>
  </si>
  <si>
    <t>Mid</t>
  </si>
  <si>
    <t>Mod</t>
  </si>
  <si>
    <t>New</t>
  </si>
  <si>
    <t>Next</t>
  </si>
  <si>
    <t>Not</t>
  </si>
  <si>
    <t>Nothing</t>
  </si>
  <si>
    <t>Option</t>
  </si>
  <si>
    <t>Or</t>
  </si>
  <si>
    <t>Private</t>
  </si>
  <si>
    <t>Public</t>
  </si>
  <si>
    <t>ReDim</t>
  </si>
  <si>
    <t>REM</t>
  </si>
  <si>
    <t>Resume</t>
  </si>
  <si>
    <t>Select</t>
  </si>
  <si>
    <t>Set</t>
  </si>
  <si>
    <t>Static</t>
  </si>
  <si>
    <t>Step</t>
  </si>
  <si>
    <t>Sub</t>
  </si>
  <si>
    <t>Then</t>
  </si>
  <si>
    <t>To</t>
  </si>
  <si>
    <t>Until</t>
  </si>
  <si>
    <t>vbCrLf</t>
  </si>
  <si>
    <t>vbTab</t>
  </si>
  <si>
    <t>With</t>
  </si>
  <si>
    <t>While</t>
  </si>
  <si>
    <t>Xor</t>
  </si>
  <si>
    <t>Textbox</t>
  </si>
  <si>
    <t>List Box</t>
  </si>
  <si>
    <t>WF Admin</t>
  </si>
  <si>
    <t>Screen 1</t>
  </si>
  <si>
    <t>Screen 2</t>
  </si>
  <si>
    <t>HR Function</t>
  </si>
  <si>
    <t>User_ID</t>
  </si>
  <si>
    <t>HR_Function</t>
  </si>
  <si>
    <t>Timestamp</t>
  </si>
  <si>
    <t>Time Spent</t>
  </si>
  <si>
    <t>Shift Date</t>
  </si>
  <si>
    <t>WE</t>
  </si>
  <si>
    <t>Month</t>
  </si>
  <si>
    <t>Quarter</t>
  </si>
  <si>
    <t>Year</t>
  </si>
  <si>
    <t>Hours</t>
  </si>
  <si>
    <t>Mins</t>
  </si>
  <si>
    <t>Time Start</t>
  </si>
  <si>
    <t>Time End</t>
  </si>
  <si>
    <t>Sec</t>
  </si>
  <si>
    <t>Grand Total</t>
  </si>
  <si>
    <t>Activity Name</t>
  </si>
  <si>
    <t>Time_Spent</t>
  </si>
  <si>
    <t>Status</t>
  </si>
  <si>
    <t>Active</t>
  </si>
  <si>
    <t>testing 1</t>
  </si>
  <si>
    <t>hello world!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</si>
</sst>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h]"/>
    <numFmt numFmtId="165" formatCode="mm"/>
    <numFmt numFmtId="166" formatCode="ss.0"/>
  </numFmts>
  <fonts count="11" x14ac:knownFonts="1">
    <font>
      <sz val="11"/>
      <color theme="1"/>
      <name val="Calibri"/>
      <family val="2"/>
      <scheme val="minor"/>
    </font>
    <font>
      <b/>
      <sz val="11"/>
      <color theme="1"/>
      <name val="Calibri"/>
      <family val="2"/>
      <scheme val="minor"/>
    </font>
    <font>
      <i/>
      <sz val="11"/>
      <color theme="1"/>
      <name val="Calibri"/>
      <family val="2"/>
      <scheme val="minor"/>
    </font>
    <font>
      <b/>
      <sz val="10"/>
      <color theme="0"/>
      <name val="DB Office"/>
      <family val="2"/>
    </font>
    <font>
      <b/>
      <sz val="10"/>
      <color theme="1"/>
      <name val="DB Office"/>
      <family val="2"/>
    </font>
    <font>
      <sz val="10"/>
      <color theme="1"/>
      <name val="DB Office"/>
      <family val="2"/>
    </font>
    <font>
      <sz val="10"/>
      <name val="DB Office"/>
      <family val="2"/>
    </font>
    <font>
      <b/>
      <sz val="8"/>
      <color theme="1"/>
      <name val="Times New Roman"/>
      <family val="1"/>
    </font>
    <font>
      <sz val="8"/>
      <color theme="1"/>
      <name val="Times New Roman"/>
      <family val="1"/>
    </font>
    <font>
      <b/>
      <sz val="8"/>
      <color theme="0"/>
      <name val="Times New Roman"/>
      <family val="1"/>
    </font>
    <font>
      <b/>
      <sz val="11"/>
      <color rgb="FF000000"/>
      <name val="Calibri"/>
      <family val="2"/>
    </font>
  </fonts>
  <fills count="6">
    <fill>
      <patternFill patternType="none"/>
    </fill>
    <fill>
      <patternFill patternType="gray125"/>
    </fill>
    <fill>
      <patternFill patternType="solid">
        <fgColor theme="0" tint="-0.14999847407452621"/>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theme="7" tint="0.59999389629810485"/>
        <bgColor indexed="64"/>
      </patternFill>
    </fill>
  </fills>
  <borders count="1">
    <border>
      <left/>
      <right/>
      <top/>
      <bottom/>
      <diagonal/>
    </border>
  </borders>
  <cellStyleXfs count="1">
    <xf numFmtId="0" fontId="0" fillId="0" borderId="0"/>
  </cellStyleXfs>
  <cellXfs count="29">
    <xf numFmtId="0" fontId="0" fillId="0" borderId="0" xfId="0"/>
    <xf numFmtId="0" fontId="1" fillId="0" borderId="0" xfId="0" applyFont="1" applyFill="1"/>
    <xf numFmtId="0" fontId="1" fillId="2" borderId="0" xfId="0" applyFont="1" applyFill="1"/>
    <xf numFmtId="0" fontId="2" fillId="2" borderId="0" xfId="0" applyFont="1" applyFill="1"/>
    <xf numFmtId="0" fontId="2" fillId="0" borderId="0" xfId="0" applyFont="1"/>
    <xf numFmtId="0" fontId="3" fillId="3" borderId="0" xfId="0" applyFont="1" applyFill="1" applyBorder="1" applyAlignment="1">
      <alignment horizontal="center" vertical="center"/>
    </xf>
    <xf numFmtId="0" fontId="3" fillId="3" borderId="0" xfId="0" applyFont="1" applyFill="1"/>
    <xf numFmtId="0" fontId="4" fillId="0" borderId="0" xfId="0" applyFont="1"/>
    <xf numFmtId="0" fontId="5" fillId="0" borderId="0" xfId="0" applyFont="1" applyBorder="1"/>
    <xf numFmtId="0" fontId="5" fillId="0" borderId="0" xfId="0" applyFont="1"/>
    <xf numFmtId="0" fontId="2" fillId="0" borderId="0" xfId="0" quotePrefix="1" applyFont="1" applyFill="1"/>
    <xf numFmtId="0" fontId="6" fillId="0" borderId="0" xfId="0" applyFont="1" applyAlignment="1">
      <alignment vertical="center" wrapText="1"/>
    </xf>
    <xf numFmtId="0" fontId="8" fillId="0" borderId="0" xfId="0" applyFont="1"/>
    <xf numFmtId="0" fontId="7" fillId="0" borderId="0" xfId="0" applyFont="1" applyFill="1" applyAlignment="1">
      <alignment horizontal="center"/>
    </xf>
    <xf numFmtId="0" fontId="9" fillId="0" borderId="0" xfId="0" applyFont="1" applyFill="1" applyAlignment="1">
      <alignment horizontal="center"/>
    </xf>
    <xf numFmtId="22" fontId="8" fillId="0" borderId="0" xfId="0" applyNumberFormat="1" applyFont="1"/>
    <xf numFmtId="20" fontId="8" fillId="0" borderId="0" xfId="0" applyNumberFormat="1" applyFont="1"/>
    <xf numFmtId="46" fontId="8" fillId="0" borderId="0" xfId="0" applyNumberFormat="1" applyFont="1"/>
    <xf numFmtId="14" fontId="8" fillId="0" borderId="0" xfId="0" applyNumberFormat="1" applyFont="1"/>
    <xf numFmtId="164" fontId="8" fillId="0" borderId="0" xfId="0" applyNumberFormat="1" applyFont="1"/>
    <xf numFmtId="165" fontId="8" fillId="0" borderId="0" xfId="0" applyNumberFormat="1" applyFont="1"/>
    <xf numFmtId="166" fontId="8" fillId="0" borderId="0" xfId="0" applyNumberFormat="1" applyFont="1"/>
    <xf numFmtId="0" fontId="8" fillId="0" borderId="0" xfId="0" applyNumberFormat="1" applyFont="1"/>
    <xf numFmtId="0" fontId="8" fillId="0" borderId="0" xfId="0" pivotButton="1" applyFont="1"/>
    <xf numFmtId="0" fontId="8" fillId="0" borderId="0" xfId="0" applyFont="1" applyAlignment="1">
      <alignment horizontal="left"/>
    </xf>
    <xf numFmtId="21" fontId="8" fillId="0" borderId="0" xfId="0" applyNumberFormat="1" applyFont="1"/>
    <xf numFmtId="18" fontId="8" fillId="0" borderId="0" xfId="0" applyNumberFormat="1" applyFont="1"/>
    <xf numFmtId="0" fontId="1" fillId="4" borderId="0" xfId="0" applyFont="1" applyFill="1" applyAlignment="1">
      <alignment horizontal="center"/>
    </xf>
    <xf numFmtId="0" fontId="1" fillId="5" borderId="0" xfId="0" applyFont="1" applyFill="1" applyAlignment="1">
      <alignment horizontal="center"/>
    </xf>
  </cellXfs>
  <cellStyles count="1">
    <cellStyle name="Normal" xfId="0" builtinId="0"/>
  </cellStyles>
  <dxfs count="34">
    <dxf>
      <font>
        <b val="0"/>
        <i val="0"/>
        <strike val="0"/>
        <condense val="0"/>
        <extend val="0"/>
        <outline val="0"/>
        <shadow val="0"/>
        <u val="none"/>
        <vertAlign val="baseline"/>
        <sz val="8"/>
        <color theme="1"/>
        <name val="Times New Roman"/>
        <family val="1"/>
        <scheme val="none"/>
      </font>
      <numFmt numFmtId="23" formatCode="h:mm\ AM/PM"/>
    </dxf>
    <dxf>
      <font>
        <b val="0"/>
        <i val="0"/>
        <strike val="0"/>
        <condense val="0"/>
        <extend val="0"/>
        <outline val="0"/>
        <shadow val="0"/>
        <u val="none"/>
        <vertAlign val="baseline"/>
        <sz val="8"/>
        <color theme="1"/>
        <name val="Times New Roman"/>
        <family val="1"/>
        <scheme val="none"/>
      </font>
      <numFmt numFmtId="23" formatCode="h:mm\ AM/PM"/>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8"/>
      </font>
    </dxf>
    <dxf>
      <font>
        <sz val="8"/>
      </font>
    </dxf>
    <dxf>
      <font>
        <sz val="8"/>
      </font>
    </dxf>
    <dxf>
      <font>
        <sz val="8"/>
      </font>
    </dxf>
    <dxf>
      <font>
        <sz val="8"/>
      </font>
    </dxf>
    <dxf>
      <font>
        <sz val="8"/>
      </font>
    </dxf>
    <dxf>
      <font>
        <color rgb="FF9C0006"/>
      </font>
      <fill>
        <patternFill>
          <bgColor rgb="FFFFC7CE"/>
        </patternFill>
      </fill>
    </dxf>
    <dxf>
      <font>
        <b val="0"/>
        <i val="0"/>
        <strike val="0"/>
        <condense val="0"/>
        <extend val="0"/>
        <outline val="0"/>
        <shadow val="0"/>
        <u val="none"/>
        <vertAlign val="baseline"/>
        <sz val="8"/>
        <color theme="1"/>
        <name val="Times New Roman"/>
        <family val="1"/>
        <scheme val="none"/>
      </font>
      <numFmt numFmtId="166" formatCode="ss.0"/>
    </dxf>
    <dxf>
      <font>
        <b val="0"/>
        <i val="0"/>
        <strike val="0"/>
        <condense val="0"/>
        <extend val="0"/>
        <outline val="0"/>
        <shadow val="0"/>
        <u val="none"/>
        <vertAlign val="baseline"/>
        <sz val="8"/>
        <color theme="1"/>
        <name val="Times New Roman"/>
        <family val="1"/>
        <scheme val="none"/>
      </font>
      <numFmt numFmtId="165" formatCode="mm"/>
    </dxf>
    <dxf>
      <font>
        <b val="0"/>
        <i val="0"/>
        <strike val="0"/>
        <condense val="0"/>
        <extend val="0"/>
        <outline val="0"/>
        <shadow val="0"/>
        <u val="none"/>
        <vertAlign val="baseline"/>
        <sz val="8"/>
        <color theme="1"/>
        <name val="Times New Roman"/>
        <family val="1"/>
        <scheme val="none"/>
      </font>
      <numFmt numFmtId="164" formatCode="[h]"/>
    </dxf>
    <dxf>
      <font>
        <b val="0"/>
        <i val="0"/>
        <strike val="0"/>
        <condense val="0"/>
        <extend val="0"/>
        <outline val="0"/>
        <shadow val="0"/>
        <u val="none"/>
        <vertAlign val="baseline"/>
        <sz val="8"/>
        <color theme="1"/>
        <name val="Times New Roman"/>
        <family val="1"/>
        <scheme val="none"/>
      </font>
      <numFmt numFmtId="0" formatCode="General"/>
    </dxf>
    <dxf>
      <font>
        <b val="0"/>
        <i val="0"/>
        <strike val="0"/>
        <condense val="0"/>
        <extend val="0"/>
        <outline val="0"/>
        <shadow val="0"/>
        <u val="none"/>
        <vertAlign val="baseline"/>
        <sz val="8"/>
        <color theme="1"/>
        <name val="Times New Roman"/>
        <family val="1"/>
        <scheme val="none"/>
      </font>
      <numFmt numFmtId="0" formatCode="General"/>
    </dxf>
    <dxf>
      <font>
        <b val="0"/>
        <i val="0"/>
        <strike val="0"/>
        <condense val="0"/>
        <extend val="0"/>
        <outline val="0"/>
        <shadow val="0"/>
        <u val="none"/>
        <vertAlign val="baseline"/>
        <sz val="8"/>
        <color theme="1"/>
        <name val="Times New Roman"/>
        <family val="1"/>
        <scheme val="none"/>
      </font>
      <numFmt numFmtId="0" formatCode="General"/>
    </dxf>
    <dxf>
      <font>
        <b val="0"/>
        <i val="0"/>
        <strike val="0"/>
        <condense val="0"/>
        <extend val="0"/>
        <outline val="0"/>
        <shadow val="0"/>
        <u val="none"/>
        <vertAlign val="baseline"/>
        <sz val="8"/>
        <color theme="1"/>
        <name val="Times New Roman"/>
        <family val="1"/>
        <scheme val="none"/>
      </font>
      <numFmt numFmtId="0" formatCode="General"/>
    </dxf>
    <dxf>
      <font>
        <b val="0"/>
        <i val="0"/>
        <strike val="0"/>
        <condense val="0"/>
        <extend val="0"/>
        <outline val="0"/>
        <shadow val="0"/>
        <u val="none"/>
        <vertAlign val="baseline"/>
        <sz val="8"/>
        <color theme="1"/>
        <name val="Times New Roman"/>
        <family val="1"/>
        <scheme val="none"/>
      </font>
      <numFmt numFmtId="19" formatCode="dd/mm/yyyy"/>
    </dxf>
    <dxf>
      <font>
        <b val="0"/>
        <i val="0"/>
        <strike val="0"/>
        <condense val="0"/>
        <extend val="0"/>
        <outline val="0"/>
        <shadow val="0"/>
        <u val="none"/>
        <vertAlign val="baseline"/>
        <sz val="8"/>
        <color theme="1"/>
        <name val="Times New Roman"/>
        <family val="1"/>
        <scheme val="none"/>
      </font>
      <numFmt numFmtId="31" formatCode="[h]:mm:ss"/>
    </dxf>
    <dxf>
      <font>
        <b val="0"/>
        <i val="0"/>
        <strike val="0"/>
        <condense val="0"/>
        <extend val="0"/>
        <outline val="0"/>
        <shadow val="0"/>
        <u val="none"/>
        <vertAlign val="baseline"/>
        <sz val="8"/>
        <color theme="1"/>
        <name val="Times New Roman"/>
        <family val="1"/>
        <scheme val="none"/>
      </font>
    </dxf>
    <dxf>
      <font>
        <b val="0"/>
        <i val="0"/>
        <strike val="0"/>
        <condense val="0"/>
        <extend val="0"/>
        <outline val="0"/>
        <shadow val="0"/>
        <u val="none"/>
        <vertAlign val="baseline"/>
        <sz val="8"/>
        <color theme="1"/>
        <name val="Times New Roman"/>
        <family val="1"/>
        <scheme val="none"/>
      </font>
    </dxf>
    <dxf>
      <font>
        <b val="0"/>
        <i val="0"/>
        <strike val="0"/>
        <condense val="0"/>
        <extend val="0"/>
        <outline val="0"/>
        <shadow val="0"/>
        <u val="none"/>
        <vertAlign val="baseline"/>
        <sz val="8"/>
        <color theme="1"/>
        <name val="Times New Roman"/>
        <family val="1"/>
        <scheme val="none"/>
      </font>
    </dxf>
    <dxf>
      <font>
        <b val="0"/>
        <i val="0"/>
        <strike val="0"/>
        <condense val="0"/>
        <extend val="0"/>
        <outline val="0"/>
        <shadow val="0"/>
        <u val="none"/>
        <vertAlign val="baseline"/>
        <sz val="8"/>
        <color theme="1"/>
        <name val="Times New Roman"/>
        <family val="1"/>
        <scheme val="none"/>
      </font>
      <numFmt numFmtId="27" formatCode="dd/mm/yyyy\ h:mm"/>
    </dxf>
    <dxf>
      <font>
        <b val="0"/>
        <i val="0"/>
        <strike val="0"/>
        <condense val="0"/>
        <extend val="0"/>
        <outline val="0"/>
        <shadow val="0"/>
        <u val="none"/>
        <vertAlign val="baseline"/>
        <sz val="8"/>
        <color theme="1"/>
        <name val="Times New Roman"/>
        <family val="1"/>
        <scheme val="none"/>
      </font>
    </dxf>
    <dxf>
      <font>
        <b/>
        <i val="0"/>
        <strike val="0"/>
        <condense val="0"/>
        <extend val="0"/>
        <outline val="0"/>
        <shadow val="0"/>
        <u val="none"/>
        <vertAlign val="baseline"/>
        <sz val="8"/>
        <color theme="0"/>
        <name val="Times New Roman"/>
        <family val="1"/>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8"/>
        <color theme="1"/>
        <name val="Times New Roman"/>
        <family val="1"/>
        <scheme val="none"/>
      </font>
    </dxf>
    <dxf>
      <font>
        <b val="0"/>
        <i val="0"/>
        <strike val="0"/>
        <condense val="0"/>
        <extend val="0"/>
        <outline val="0"/>
        <shadow val="0"/>
        <u val="none"/>
        <vertAlign val="baseline"/>
        <sz val="8"/>
        <color theme="1"/>
        <name val="Times New Roman"/>
        <family val="1"/>
        <scheme val="none"/>
      </font>
    </dxf>
    <dxf>
      <font>
        <b val="0"/>
        <i val="0"/>
        <strike val="0"/>
        <condense val="0"/>
        <extend val="0"/>
        <outline val="0"/>
        <shadow val="0"/>
        <u val="none"/>
        <vertAlign val="baseline"/>
        <sz val="8"/>
        <color theme="1"/>
        <name val="Times New Roman"/>
        <family val="1"/>
        <scheme val="none"/>
      </font>
    </dxf>
    <dxf>
      <font>
        <b/>
        <i val="0"/>
        <strike val="0"/>
        <condense val="0"/>
        <extend val="0"/>
        <outline val="0"/>
        <shadow val="0"/>
        <u val="none"/>
        <vertAlign val="baseline"/>
        <sz val="8"/>
        <color theme="1"/>
        <name val="Times New Roman"/>
        <family val="1"/>
        <scheme val="none"/>
      </font>
      <fill>
        <patternFill patternType="none">
          <fgColor indexed="64"/>
          <bgColor auto="1"/>
        </patternFill>
      </fill>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5.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5</xdr:col>
      <xdr:colOff>9525</xdr:colOff>
      <xdr:row>4</xdr:row>
      <xdr:rowOff>1</xdr:rowOff>
    </xdr:from>
    <xdr:to>
      <xdr:col>6</xdr:col>
      <xdr:colOff>0</xdr:colOff>
      <xdr:row>8</xdr:row>
      <xdr:rowOff>142875</xdr:rowOff>
    </xdr:to>
    <mc:AlternateContent xmlns:mc="http://schemas.openxmlformats.org/markup-compatibility/2006" xmlns:a14="http://schemas.microsoft.com/office/drawing/2010/main">
      <mc:Choice Requires="a14">
        <xdr:graphicFrame macro="">
          <xdr:nvGraphicFramePr>
            <xdr:cNvPr id="2" name="Month">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2867025" y="762001"/>
              <a:ext cx="942975" cy="761999"/>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0</xdr:colOff>
      <xdr:row>4</xdr:row>
      <xdr:rowOff>1</xdr:rowOff>
    </xdr:from>
    <xdr:to>
      <xdr:col>3</xdr:col>
      <xdr:colOff>942975</xdr:colOff>
      <xdr:row>8</xdr:row>
      <xdr:rowOff>142876</xdr:rowOff>
    </xdr:to>
    <mc:AlternateContent xmlns:mc="http://schemas.openxmlformats.org/markup-compatibility/2006" xmlns:a14="http://schemas.microsoft.com/office/drawing/2010/main">
      <mc:Choice Requires="a14">
        <xdr:graphicFrame macro="">
          <xdr:nvGraphicFramePr>
            <xdr:cNvPr id="3" name="Quarter">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mlns="">
        <xdr:sp macro="" textlink="">
          <xdr:nvSpPr>
            <xdr:cNvPr id="0" name=""/>
            <xdr:cNvSpPr>
              <a:spLocks noTextEdit="1"/>
            </xdr:cNvSpPr>
          </xdr:nvSpPr>
          <xdr:spPr>
            <a:xfrm>
              <a:off x="1724025" y="762001"/>
              <a:ext cx="942975" cy="762000"/>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4</xdr:row>
      <xdr:rowOff>1</xdr:rowOff>
    </xdr:from>
    <xdr:to>
      <xdr:col>2</xdr:col>
      <xdr:colOff>0</xdr:colOff>
      <xdr:row>8</xdr:row>
      <xdr:rowOff>142876</xdr:rowOff>
    </xdr:to>
    <mc:AlternateContent xmlns:mc="http://schemas.openxmlformats.org/markup-compatibility/2006" xmlns:a14="http://schemas.microsoft.com/office/drawing/2010/main">
      <mc:Choice Requires="a14">
        <xdr:graphicFrame macro="">
          <xdr:nvGraphicFramePr>
            <xdr:cNvPr id="4" name="Year">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581025" y="762001"/>
              <a:ext cx="962025" cy="762000"/>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10</xdr:row>
      <xdr:rowOff>1</xdr:rowOff>
    </xdr:from>
    <xdr:to>
      <xdr:col>2</xdr:col>
      <xdr:colOff>0</xdr:colOff>
      <xdr:row>14</xdr:row>
      <xdr:rowOff>19050</xdr:rowOff>
    </xdr:to>
    <mc:AlternateContent xmlns:mc="http://schemas.openxmlformats.org/markup-compatibility/2006" xmlns:a14="http://schemas.microsoft.com/office/drawing/2010/main">
      <mc:Choice Requires="a14">
        <xdr:graphicFrame macro="">
          <xdr:nvGraphicFramePr>
            <xdr:cNvPr id="5" name="Shift Date">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microsoft.com/office/drawing/2010/slicer">
              <sle:slicer xmlns:sle="http://schemas.microsoft.com/office/drawing/2010/slicer" name="Shift Date"/>
            </a:graphicData>
          </a:graphic>
        </xdr:graphicFrame>
      </mc:Choice>
      <mc:Fallback xmlns="">
        <xdr:sp macro="" textlink="">
          <xdr:nvSpPr>
            <xdr:cNvPr id="0" name=""/>
            <xdr:cNvSpPr>
              <a:spLocks noTextEdit="1"/>
            </xdr:cNvSpPr>
          </xdr:nvSpPr>
          <xdr:spPr>
            <a:xfrm>
              <a:off x="609600" y="1905001"/>
              <a:ext cx="933450" cy="781049"/>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9525</xdr:colOff>
      <xdr:row>10</xdr:row>
      <xdr:rowOff>0</xdr:rowOff>
    </xdr:from>
    <xdr:to>
      <xdr:col>3</xdr:col>
      <xdr:colOff>942975</xdr:colOff>
      <xdr:row>14</xdr:row>
      <xdr:rowOff>9525</xdr:rowOff>
    </xdr:to>
    <mc:AlternateContent xmlns:mc="http://schemas.openxmlformats.org/markup-compatibility/2006" xmlns:a14="http://schemas.microsoft.com/office/drawing/2010/main">
      <mc:Choice Requires="a14">
        <xdr:graphicFrame macro="">
          <xdr:nvGraphicFramePr>
            <xdr:cNvPr id="6" name="WE">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microsoft.com/office/drawing/2010/slicer">
              <sle:slicer xmlns:sle="http://schemas.microsoft.com/office/drawing/2010/slicer" name="WE"/>
            </a:graphicData>
          </a:graphic>
        </xdr:graphicFrame>
      </mc:Choice>
      <mc:Fallback xmlns="">
        <xdr:sp macro="" textlink="">
          <xdr:nvSpPr>
            <xdr:cNvPr id="0" name=""/>
            <xdr:cNvSpPr>
              <a:spLocks noTextEdit="1"/>
            </xdr:cNvSpPr>
          </xdr:nvSpPr>
          <xdr:spPr>
            <a:xfrm>
              <a:off x="1733550" y="1905000"/>
              <a:ext cx="933450" cy="771525"/>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504825</xdr:colOff>
          <xdr:row>0</xdr:row>
          <xdr:rowOff>114300</xdr:rowOff>
        </xdr:from>
        <xdr:to>
          <xdr:col>2</xdr:col>
          <xdr:colOff>9525</xdr:colOff>
          <xdr:row>2</xdr:row>
          <xdr:rowOff>161925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1100" b="1" i="0" u="none" strike="noStrike" baseline="0">
                  <a:solidFill>
                    <a:srgbClr val="000000"/>
                  </a:solidFill>
                  <a:latin typeface="Calibri"/>
                  <a:cs typeface="Calibri"/>
                </a:rPr>
                <a:t>Reload Main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133350</xdr:rowOff>
        </xdr:from>
        <xdr:to>
          <xdr:col>4</xdr:col>
          <xdr:colOff>0</xdr:colOff>
          <xdr:row>2</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1100" b="1" i="0" u="none" strike="noStrike" baseline="0">
                  <a:solidFill>
                    <a:srgbClr val="000000"/>
                  </a:solidFill>
                  <a:latin typeface="Calibri"/>
                  <a:cs typeface="Calibri"/>
                </a:rPr>
                <a:t>Send Email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xdr:row>
          <xdr:rowOff>9525</xdr:rowOff>
        </xdr:from>
        <xdr:to>
          <xdr:col>6</xdr:col>
          <xdr:colOff>9525</xdr:colOff>
          <xdr:row>3</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90622395-1B75-4BFA-956C-5F895C37AD6A}"/>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1100" b="1" i="0" u="none" strike="noStrike" baseline="0">
                  <a:solidFill>
                    <a:srgbClr val="000000"/>
                  </a:solidFill>
                  <a:latin typeface="Calibri"/>
                  <a:cs typeface="Calibri"/>
                </a:rPr>
                <a:t>Export </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ntuba, Agape Grace" refreshedDate="43438.858979166667" createdVersion="6" refreshedVersion="6" minRefreshableVersion="3" recordCount="3" xr:uid="{48F27674-2151-4761-90E6-29D5F2545437}">
  <cacheSource type="worksheet">
    <worksheetSource name="Table1"/>
  </cacheSource>
  <cacheFields count="15">
    <cacheField name="Timestamp" numFmtId="22">
      <sharedItems containsSemiMixedTypes="0" containsNonDate="0" containsDate="1" containsString="0" minDate="2018-04-12T19:34:00" maxDate="2018-04-12T20:35:00"/>
    </cacheField>
    <cacheField name="Activity" numFmtId="0">
      <sharedItems containsBlank="1" count="6">
        <s v="Work Mode"/>
        <s v="On Break"/>
        <m u="1"/>
        <s v="Meeting" u="1"/>
        <s v="Training" u="1"/>
        <s v="Outbound" u="1"/>
      </sharedItems>
    </cacheField>
    <cacheField name="HR_Function" numFmtId="0">
      <sharedItems/>
    </cacheField>
    <cacheField name="Notes" numFmtId="0">
      <sharedItems containsBlank="1"/>
    </cacheField>
    <cacheField name="Time Start" numFmtId="18">
      <sharedItems containsSemiMixedTypes="0" containsNonDate="0" containsDate="1" containsString="0" minDate="2018-04-12T19:34:00" maxDate="2018-04-12T20:35:00"/>
    </cacheField>
    <cacheField name="Time End" numFmtId="18">
      <sharedItems containsDate="1" containsMixedTypes="1" minDate="2018-04-12T20:34:00" maxDate="2018-04-12T20:35:00"/>
    </cacheField>
    <cacheField name="Time Spent" numFmtId="46">
      <sharedItems containsDate="1" containsMixedTypes="1" minDate="1899-12-30T00:01:00" maxDate="1899-12-30T01:00:00"/>
    </cacheField>
    <cacheField name="Shift Date" numFmtId="14">
      <sharedItems containsSemiMixedTypes="0" containsNonDate="0" containsDate="1" containsString="0" minDate="1899-12-30T00:00:00" maxDate="2018-12-05T00:00:00" count="4">
        <d v="2018-04-12T00:00:00"/>
        <d v="2018-03-12T00:00:00" u="1"/>
        <d v="1899-12-30T00:00:00" u="1"/>
        <d v="2018-12-04T00:00:00" u="1"/>
      </sharedItems>
    </cacheField>
    <cacheField name="WE" numFmtId="0">
      <sharedItems count="4">
        <s v="14-Apr"/>
        <s v="08-Dec" u="1"/>
        <s v="17-Mar" u="1"/>
        <s v="00-Jan" u="1"/>
      </sharedItems>
    </cacheField>
    <cacheField name="Month" numFmtId="0">
      <sharedItems count="4">
        <s v="Apr"/>
        <s v="Jan" u="1"/>
        <s v="Dec" u="1"/>
        <s v="Mar" u="1"/>
      </sharedItems>
    </cacheField>
    <cacheField name="Quarter" numFmtId="0">
      <sharedItems count="3">
        <s v="Quarter 2"/>
        <s v="Quarter 1" u="1"/>
        <s v="Quarter 4" u="1"/>
      </sharedItems>
    </cacheField>
    <cacheField name="Year" numFmtId="0">
      <sharedItems containsSemiMixedTypes="0" containsString="0" containsNumber="1" containsInteger="1" minValue="1900" maxValue="2018" count="2">
        <n v="2018"/>
        <n v="1900" u="1"/>
      </sharedItems>
    </cacheField>
    <cacheField name="Hours" numFmtId="164">
      <sharedItems containsDate="1" containsMixedTypes="1" minDate="1899-12-30T00:24:00" maxDate="1900-01-01T00:00:00"/>
    </cacheField>
    <cacheField name="Mins" numFmtId="165">
      <sharedItems containsSemiMixedTypes="0" containsNonDate="0" containsDate="1" containsString="0" minDate="1899-12-30T00:00:00" maxDate="1899-12-30T01:00:00"/>
    </cacheField>
    <cacheField name="Sec" numFmtId="166">
      <sharedItems containsDate="1" containsMixedTypes="1" minDate="1899-12-31T00:00:00" maxDate="1899-12-31T00:01:15"/>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
  <r>
    <d v="2018-04-12T19:34:00"/>
    <x v="0"/>
    <s v="WF Admin"/>
    <m/>
    <d v="2018-04-12T19:34:00"/>
    <d v="2018-04-12T20:34:00"/>
    <d v="1899-12-30T01:00:00"/>
    <x v="0"/>
    <x v="0"/>
    <x v="0"/>
    <x v="0"/>
    <x v="0"/>
    <d v="1899-12-31T00:00:00"/>
    <d v="1899-12-30T01:00:00"/>
    <d v="1899-12-31T00:01:15"/>
  </r>
  <r>
    <d v="2018-04-12T20:34:00"/>
    <x v="0"/>
    <s v="WF Admin"/>
    <s v="testing 1"/>
    <d v="2018-04-12T20:34:00"/>
    <d v="2018-04-12T20:35:00"/>
    <d v="1899-12-30T00:01:00"/>
    <x v="0"/>
    <x v="0"/>
    <x v="0"/>
    <x v="0"/>
    <x v="0"/>
    <d v="1899-12-30T00:24:00"/>
    <d v="1899-12-30T00:01:00"/>
    <d v="1899-12-31T00:00:00"/>
  </r>
  <r>
    <d v="2018-04-12T20:35:00"/>
    <x v="1"/>
    <s v="WF Admin"/>
    <s v="hello world!"/>
    <d v="2018-04-12T20:35:00"/>
    <s v="-"/>
    <s v="-"/>
    <x v="0"/>
    <x v="0"/>
    <x v="0"/>
    <x v="0"/>
    <x v="0"/>
    <e v="#VALUE!"/>
    <d v="1899-12-30T00:00:00"/>
    <e v="#VALUE!"/>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55144A9-6927-4E8D-8E55-3C83F55F666A}" name="PivotTable1" cacheId="131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Activity Name">
  <location ref="H8:I11" firstHeaderRow="1" firstDataRow="1" firstDataCol="1"/>
  <pivotFields count="15">
    <pivotField numFmtId="22" showAll="0"/>
    <pivotField axis="axisRow" showAll="0">
      <items count="7">
        <item m="1" x="3"/>
        <item m="1" x="5"/>
        <item m="1" x="4"/>
        <item x="0"/>
        <item x="1"/>
        <item m="1" x="2"/>
        <item t="default"/>
      </items>
    </pivotField>
    <pivotField showAll="0"/>
    <pivotField showAll="0"/>
    <pivotField numFmtId="20" showAll="0"/>
    <pivotField numFmtId="20" showAll="0"/>
    <pivotField numFmtId="46" showAll="0"/>
    <pivotField numFmtId="14" showAll="0">
      <items count="5">
        <item m="1" x="2"/>
        <item m="1" x="1"/>
        <item x="0"/>
        <item m="1" x="3"/>
        <item t="default"/>
      </items>
    </pivotField>
    <pivotField showAll="0">
      <items count="5">
        <item m="1" x="3"/>
        <item m="1" x="1"/>
        <item x="0"/>
        <item m="1" x="2"/>
        <item t="default"/>
      </items>
    </pivotField>
    <pivotField showAll="0">
      <items count="5">
        <item m="1" x="1"/>
        <item m="1" x="3"/>
        <item x="0"/>
        <item m="1" x="2"/>
        <item t="default"/>
      </items>
    </pivotField>
    <pivotField showAll="0">
      <items count="4">
        <item m="1" x="1"/>
        <item x="0"/>
        <item m="1" x="2"/>
        <item t="default"/>
      </items>
    </pivotField>
    <pivotField showAll="0">
      <items count="3">
        <item m="1" x="1"/>
        <item x="0"/>
        <item t="default"/>
      </items>
    </pivotField>
    <pivotField numFmtId="164" showAll="0"/>
    <pivotField dataField="1" numFmtId="165" showAll="0"/>
    <pivotField numFmtId="166" showAll="0"/>
  </pivotFields>
  <rowFields count="1">
    <field x="1"/>
  </rowFields>
  <rowItems count="3">
    <i>
      <x v="3"/>
    </i>
    <i>
      <x v="4"/>
    </i>
    <i t="grand">
      <x/>
    </i>
  </rowItems>
  <colItems count="1">
    <i/>
  </colItems>
  <dataFields count="1">
    <dataField name="Time_Spent" fld="13" baseField="1" baseItem="0" numFmtId="21"/>
  </dataFields>
  <formats count="12">
    <format dxfId="2">
      <pivotArea type="all" dataOnly="0" outline="0" fieldPosition="0"/>
    </format>
    <format dxfId="3">
      <pivotArea outline="0" collapsedLevelsAreSubtotals="1" fieldPosition="0"/>
    </format>
    <format dxfId="4">
      <pivotArea field="1" type="button" dataOnly="0" labelOnly="1" outline="0" axis="axisRow" fieldPosition="0"/>
    </format>
    <format dxfId="5">
      <pivotArea dataOnly="0" labelOnly="1" fieldPosition="0">
        <references count="1">
          <reference field="1" count="0"/>
        </references>
      </pivotArea>
    </format>
    <format dxfId="6">
      <pivotArea dataOnly="0" labelOnly="1" grandRow="1" outline="0" fieldPosition="0"/>
    </format>
    <format dxfId="7">
      <pivotArea dataOnly="0" labelOnly="1" outline="0" axis="axisValues" fieldPosition="0"/>
    </format>
    <format dxfId="8">
      <pivotArea type="all" dataOnly="0" outline="0" fieldPosition="0"/>
    </format>
    <format dxfId="9">
      <pivotArea outline="0" collapsedLevelsAreSubtotals="1" fieldPosition="0"/>
    </format>
    <format dxfId="10">
      <pivotArea field="1" type="button" dataOnly="0" labelOnly="1" outline="0" axis="axisRow" fieldPosition="0"/>
    </format>
    <format dxfId="11">
      <pivotArea dataOnly="0" labelOnly="1" fieldPosition="0">
        <references count="1">
          <reference field="1" count="0"/>
        </references>
      </pivotArea>
    </format>
    <format dxfId="12">
      <pivotArea dataOnly="0" labelOnly="1" grandRow="1" outline="0" fieldPosition="0"/>
    </format>
    <format dxfId="13">
      <pivotArea dataOnly="0" labelOnly="1" outline="0" axis="axisValues" fieldPosition="0"/>
    </format>
  </formats>
  <pivotTableStyleInfo name="PivotStyleMedium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71E2F71A-AC3E-4607-B15C-3F426FAC364E}" sourceName="Month">
  <pivotTables>
    <pivotTable tabId="6" name="PivotTable1"/>
  </pivotTables>
  <data>
    <tabular pivotCacheId="1">
      <items count="4">
        <i x="0" s="1"/>
        <i x="1" s="1" nd="1"/>
        <i x="3" s="1" nd="1"/>
        <i x="2"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 xr10:uid="{0250BCDE-0E35-4472-8E45-E9D92B03AFA5}" sourceName="Quarter">
  <pivotTables>
    <pivotTable tabId="6" name="PivotTable1"/>
  </pivotTables>
  <data>
    <tabular pivotCacheId="1">
      <items count="3">
        <i x="0" s="1"/>
        <i x="1" s="1" nd="1"/>
        <i x="2"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9B4DB8A3-E865-4F0D-9648-28E9542DEC0F}" sourceName="Year">
  <pivotTables>
    <pivotTable tabId="6" name="PivotTable1"/>
  </pivotTables>
  <data>
    <tabular pivotCacheId="1">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ft_Date" xr10:uid="{77813179-5DED-4769-859B-A7EEB62ADADF}" sourceName="Shift Date">
  <pivotTables>
    <pivotTable tabId="6" name="PivotTable1"/>
  </pivotTables>
  <data>
    <tabular pivotCacheId="1">
      <items count="4">
        <i x="0" s="1"/>
        <i x="2" s="1" nd="1"/>
        <i x="1" s="1" nd="1"/>
        <i x="3"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 xr10:uid="{DAEAAF6F-ECA1-49FA-8AE3-C5E8DAA140B2}" sourceName="WE">
  <pivotTables>
    <pivotTable tabId="6" name="PivotTable1"/>
  </pivotTables>
  <data>
    <tabular pivotCacheId="1">
      <items count="4">
        <i x="0" s="1"/>
        <i x="3" s="1" nd="1"/>
        <i x="1" s="1" nd="1"/>
        <i x="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15C8A96D-364A-44DD-A498-00BBEFC2F6E9}" cache="Slicer_Month" caption="Month" style="SlicerStyleDark6" rowHeight="241300"/>
  <slicer name="Quarter" xr10:uid="{24E95E70-2ADC-47F0-8C6B-ECB40F5F56EA}" cache="Slicer_Quarter" caption="Quarter" style="SlicerStyleDark6" rowHeight="241300"/>
  <slicer name="Year" xr10:uid="{1A5B55D8-3888-4226-B831-E329850B1166}" cache="Slicer_Year" caption="Year" style="SlicerStyleDark6" rowHeight="241300"/>
  <slicer name="Shift Date" xr10:uid="{F7F06049-42C9-451E-8E19-C897768DA0B8}" cache="Slicer_Shift_Date" caption="Shift Date" style="SlicerStyleDark6" rowHeight="241300"/>
  <slicer name="WE" xr10:uid="{07EC89C1-D546-4A1C-A7E1-AF20AF166DC4}" cache="Slicer_WE" caption="WE" style="SlicerStyleDark6"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1316ECB-E6EE-4101-BCAF-A82FA50DFCAA}" name="Table2" displayName="Table2" ref="A1:B3" totalsRowShown="0" headerRowDxfId="33" dataDxfId="32">
  <autoFilter ref="A1:B3" xr:uid="{3E8119F1-6ACC-45AC-8114-764C32B5AAAA}"/>
  <tableColumns count="2">
    <tableColumn id="1" xr3:uid="{30B8CA33-2BB6-41EB-9924-A5F015F5DA1A}" name="Name" dataDxfId="31"/>
    <tableColumn id="2" xr3:uid="{D4D35F16-AF50-4E8E-88C8-33432DC27F41}" name="User_ID" dataDxfId="30"/>
  </tableColumns>
  <tableStyleInfo name="TableStyleMedium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5AC5DB9-99B8-4A27-BBFC-94D90D7D9999}" name="Table1" displayName="Table1" ref="A1:O4" totalsRowShown="0" headerRowDxfId="29" dataDxfId="28">
  <autoFilter ref="A1:O4" xr:uid="{9534D872-E449-4408-94EA-2BE5999C5DEE}"/>
  <tableColumns count="15">
    <tableColumn id="1" xr3:uid="{DDF5C8A9-2025-4AD5-86D1-BE00A00EF11C}" name="Timestamp" dataDxfId="27"/>
    <tableColumn id="2" xr3:uid="{70F50A7C-80DF-4B2A-B356-A33082F3E4C4}" name="Activity" dataDxfId="26"/>
    <tableColumn id="3" xr3:uid="{FE7454A9-7BAC-4B4F-A675-CC647D4ECF06}" name="HR_Function" dataDxfId="25"/>
    <tableColumn id="4" xr3:uid="{103BC8C8-157E-4738-A17A-D8BC90CBB3F3}" name="Notes" dataDxfId="24"/>
    <tableColumn id="5" xr3:uid="{0A62BBC5-8F21-49B6-90FC-946BD0B66BFA}" name="Time Start" dataDxfId="1">
      <calculatedColumnFormula>Table1[[#This Row],[Timestamp]]</calculatedColumnFormula>
    </tableColumn>
    <tableColumn id="13" xr3:uid="{92A5B217-ADC7-4E49-93F9-54BE76CE8317}" name="Time End" dataDxfId="0">
      <calculatedColumnFormula>IF(E3="","-",E3)</calculatedColumnFormula>
    </tableColumn>
    <tableColumn id="14" xr3:uid="{933F79F8-B857-4CCC-9872-44F836EBC25E}" name="Time Spent" dataDxfId="23">
      <calculatedColumnFormula>IF(Table1[[#This Row],[Time End]]="-","-",(Table1[[#This Row],[Time End]]-Table1[[#This Row],[Time Start]]))</calculatedColumnFormula>
    </tableColumn>
    <tableColumn id="6" xr3:uid="{3275465B-16B6-46D3-A5FB-B85AEB6BA4E2}" name="Shift Date" dataDxfId="22">
      <calculatedColumnFormula>INT(Table1[[#This Row],[Timestamp]])</calculatedColumnFormula>
    </tableColumn>
    <tableColumn id="7" xr3:uid="{E950FCED-EF4C-4A4B-A716-29EA30AA900F}" name="WE" dataDxfId="21">
      <calculatedColumnFormula>TEXT((Table1[[#This Row],[Shift Date]]+7-WEEKDAY(Table1[[#This Row],[Shift Date]],1)),"dd-mmm")</calculatedColumnFormula>
    </tableColumn>
    <tableColumn id="8" xr3:uid="{DA1C83C7-3028-4794-8163-DD893C22EFB8}" name="Month" dataDxfId="20">
      <calculatedColumnFormula>TEXT(Table1[[#This Row],[Shift Date]],"mmm")</calculatedColumnFormula>
    </tableColumn>
    <tableColumn id="9" xr3:uid="{C25EE1F1-AA0C-48DB-BECD-1B7F40A5620F}" name="Quarter" dataDxfId="19">
      <calculatedColumnFormula>IFERROR("Quarter" &amp; " " &amp; ROUNDUP(MONTH(Table1[[#This Row],[Shift Date]])/3,0),"Date assigned not specified")</calculatedColumnFormula>
    </tableColumn>
    <tableColumn id="10" xr3:uid="{1BC46CC1-E36C-4C6E-A83C-2F44FD4A6D4A}" name="Year" dataDxfId="18">
      <calculatedColumnFormula>YEAR(Table1[[#This Row],[Shift Date]])</calculatedColumnFormula>
    </tableColumn>
    <tableColumn id="11" xr3:uid="{AAB9A7C7-2CEE-4C12-879C-80ABB7DD1C14}" name="Hours" dataDxfId="17">
      <calculatedColumnFormula>Table1[[#This Row],[Time Spent]]*24</calculatedColumnFormula>
    </tableColumn>
    <tableColumn id="12" xr3:uid="{CC71C541-AC63-4E9E-998A-989A590132B7}" name="Mins" dataDxfId="16">
      <calculatedColumnFormula>MIN(Table1[[#This Row],[Time Spent]])</calculatedColumnFormula>
    </tableColumn>
    <tableColumn id="15" xr3:uid="{8B4F903D-3742-4913-8929-4FC93605F25D}" name="Sec" dataDxfId="15">
      <calculatedColumnFormula>_xlfn.SEC(Table1[[#This Row],[Time Spent]])</calculatedColumnFormula>
    </tableColumn>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05B1C-0B55-4DE3-A825-16EAAD39FA34}">
  <sheetPr codeName="Sheet3"/>
  <dimension ref="A1:D17"/>
  <sheetViews>
    <sheetView workbookViewId="0"/>
  </sheetViews>
  <sheetFormatPr defaultRowHeight="15" x14ac:dyDescent="0.25"/>
  <sheetData>
    <row r="1" spans="1:4" x14ac:dyDescent="0.25">
      <c r="A1" s="5" t="s">
        <v>89</v>
      </c>
      <c r="B1" s="5" t="s">
        <v>90</v>
      </c>
      <c r="C1" s="5" t="s">
        <v>91</v>
      </c>
      <c r="D1" s="5" t="s">
        <v>92</v>
      </c>
    </row>
    <row r="2" spans="1:4" x14ac:dyDescent="0.25">
      <c r="A2" s="11" t="s">
        <v>93</v>
      </c>
      <c r="B2" s="11" t="s">
        <v>94</v>
      </c>
      <c r="C2" s="11" t="s">
        <v>95</v>
      </c>
      <c r="D2" s="11" t="s">
        <v>96</v>
      </c>
    </row>
    <row r="3" spans="1:4" x14ac:dyDescent="0.25">
      <c r="A3" s="11" t="s">
        <v>97</v>
      </c>
      <c r="B3" s="11" t="s">
        <v>98</v>
      </c>
      <c r="C3" s="11" t="s">
        <v>99</v>
      </c>
      <c r="D3" s="11" t="s">
        <v>100</v>
      </c>
    </row>
    <row r="4" spans="1:4" x14ac:dyDescent="0.25">
      <c r="A4" s="11" t="s">
        <v>101</v>
      </c>
      <c r="B4" s="11" t="s">
        <v>102</v>
      </c>
      <c r="C4" s="11" t="s">
        <v>103</v>
      </c>
      <c r="D4" s="11" t="s">
        <v>104</v>
      </c>
    </row>
    <row r="5" spans="1:4" x14ac:dyDescent="0.25">
      <c r="A5" s="11" t="s">
        <v>105</v>
      </c>
      <c r="B5" s="11" t="s">
        <v>106</v>
      </c>
      <c r="C5" s="11" t="s">
        <v>107</v>
      </c>
      <c r="D5" s="11" t="s">
        <v>108</v>
      </c>
    </row>
    <row r="6" spans="1:4" x14ac:dyDescent="0.25">
      <c r="A6" s="11" t="s">
        <v>87</v>
      </c>
      <c r="B6" s="11" t="s">
        <v>109</v>
      </c>
      <c r="C6" s="11" t="s">
        <v>110</v>
      </c>
      <c r="D6" s="11" t="s">
        <v>111</v>
      </c>
    </row>
    <row r="7" spans="1:4" x14ac:dyDescent="0.25">
      <c r="A7" s="11" t="s">
        <v>112</v>
      </c>
      <c r="B7" s="11" t="s">
        <v>113</v>
      </c>
      <c r="C7" s="11" t="s">
        <v>114</v>
      </c>
      <c r="D7" s="11" t="b">
        <v>0</v>
      </c>
    </row>
    <row r="8" spans="1:4" x14ac:dyDescent="0.25">
      <c r="A8" s="11" t="s">
        <v>115</v>
      </c>
      <c r="B8" s="11" t="s">
        <v>2</v>
      </c>
      <c r="C8" s="11" t="s">
        <v>116</v>
      </c>
      <c r="D8" s="11" t="s">
        <v>117</v>
      </c>
    </row>
    <row r="9" spans="1:4" x14ac:dyDescent="0.25">
      <c r="A9" s="11" t="s">
        <v>118</v>
      </c>
      <c r="B9" s="11" t="s">
        <v>119</v>
      </c>
      <c r="C9" s="11" t="s">
        <v>120</v>
      </c>
      <c r="D9" s="11" t="s">
        <v>121</v>
      </c>
    </row>
    <row r="10" spans="1:4" x14ac:dyDescent="0.25">
      <c r="A10" s="11" t="s">
        <v>122</v>
      </c>
      <c r="B10" s="11" t="s">
        <v>123</v>
      </c>
      <c r="C10" s="11" t="s">
        <v>124</v>
      </c>
      <c r="D10" s="11" t="s">
        <v>125</v>
      </c>
    </row>
    <row r="11" spans="1:4" x14ac:dyDescent="0.25">
      <c r="A11" s="11" t="s">
        <v>126</v>
      </c>
      <c r="B11" s="11" t="s">
        <v>127</v>
      </c>
      <c r="C11" s="11" t="s">
        <v>128</v>
      </c>
      <c r="D11" s="11" t="s">
        <v>129</v>
      </c>
    </row>
    <row r="12" spans="1:4" x14ac:dyDescent="0.25">
      <c r="A12" s="11" t="s">
        <v>130</v>
      </c>
      <c r="B12" s="11" t="s">
        <v>131</v>
      </c>
      <c r="C12" s="11" t="s">
        <v>132</v>
      </c>
      <c r="D12" s="11" t="s">
        <v>133</v>
      </c>
    </row>
    <row r="13" spans="1:4" x14ac:dyDescent="0.25">
      <c r="A13" s="11" t="s">
        <v>134</v>
      </c>
      <c r="B13" s="11" t="s">
        <v>135</v>
      </c>
      <c r="C13" s="11" t="s">
        <v>136</v>
      </c>
      <c r="D13" s="11" t="s">
        <v>137</v>
      </c>
    </row>
    <row r="14" spans="1:4" x14ac:dyDescent="0.25">
      <c r="A14" s="11" t="s">
        <v>138</v>
      </c>
      <c r="B14" s="11" t="s">
        <v>139</v>
      </c>
      <c r="C14" s="11" t="s">
        <v>85</v>
      </c>
      <c r="D14" s="11" t="s">
        <v>140</v>
      </c>
    </row>
    <row r="15" spans="1:4" x14ac:dyDescent="0.25">
      <c r="A15" s="11" t="s">
        <v>141</v>
      </c>
      <c r="B15" s="11" t="s">
        <v>86</v>
      </c>
      <c r="C15" s="11" t="s">
        <v>142</v>
      </c>
      <c r="D15" s="11" t="s">
        <v>143</v>
      </c>
    </row>
    <row r="16" spans="1:4" x14ac:dyDescent="0.25">
      <c r="A16" s="11" t="s">
        <v>144</v>
      </c>
      <c r="B16" s="11" t="b">
        <v>1</v>
      </c>
      <c r="C16" s="11" t="s">
        <v>145</v>
      </c>
      <c r="D16" s="11" t="s">
        <v>146</v>
      </c>
    </row>
    <row r="17" spans="1:4" x14ac:dyDescent="0.25">
      <c r="A17" s="11" t="s">
        <v>147</v>
      </c>
      <c r="B17" s="11" t="s">
        <v>148</v>
      </c>
      <c r="C17" s="11" t="s">
        <v>149</v>
      </c>
      <c r="D17" s="11" t="s">
        <v>150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3D765-C46A-4467-89F8-852F23644FA4}">
  <sheetPr codeName="Sheet6"/>
  <dimension ref="H8:K14"/>
  <sheetViews>
    <sheetView tabSelected="1" workbookViewId="0">
      <selection activeCell="H8" sqref="H8"/>
    </sheetView>
  </sheetViews>
  <sheetFormatPr defaultRowHeight="11.25" x14ac:dyDescent="0.2"/>
  <cols>
    <col min="1" max="1" width="9.140625" style="12"/>
    <col min="2" max="2" width="14" style="12" customWidth="1"/>
    <col min="3" max="3" width="2.7109375" style="12" customWidth="1"/>
    <col min="4" max="4" width="14.28515625" style="12" customWidth="1"/>
    <col min="5" max="5" width="2.7109375" style="12" customWidth="1"/>
    <col min="6" max="6" width="14.28515625" style="12" customWidth="1"/>
    <col min="7" max="7" width="2.7109375" style="12" customWidth="1"/>
    <col min="8" max="8" width="13.140625" style="12" bestFit="1" customWidth="1"/>
    <col min="9" max="9" width="9.140625" style="12" bestFit="1" customWidth="1"/>
    <col min="10" max="10" width="8.140625" style="12" bestFit="1" customWidth="1"/>
    <col min="11" max="11" width="10.42578125" style="12" bestFit="1" customWidth="1"/>
    <col min="12" max="16384" width="9.140625" style="12"/>
  </cols>
  <sheetData>
    <row r="8" spans="8:11" ht="15" x14ac:dyDescent="0.25">
      <c r="H8" s="23" t="s">
        <v>172</v>
      </c>
      <c r="I8" s="12" t="s">
        <v>173</v>
      </c>
      <c r="J8"/>
      <c r="K8"/>
    </row>
    <row r="9" spans="8:11" ht="15" x14ac:dyDescent="0.25">
      <c r="H9" s="24" t="s">
        <v>7</v>
      </c>
      <c r="I9" s="25">
        <v>4.2361111111111106E-2</v>
      </c>
      <c r="J9"/>
      <c r="K9"/>
    </row>
    <row r="10" spans="8:11" ht="15" x14ac:dyDescent="0.25">
      <c r="H10" s="24" t="s">
        <v>10</v>
      </c>
      <c r="I10" s="25">
        <v>0</v>
      </c>
      <c r="J10"/>
      <c r="K10"/>
    </row>
    <row r="11" spans="8:11" ht="15" x14ac:dyDescent="0.25">
      <c r="H11" s="24" t="s">
        <v>171</v>
      </c>
      <c r="I11" s="25">
        <v>4.2361111111111106E-2</v>
      </c>
      <c r="J11"/>
      <c r="K11"/>
    </row>
    <row r="12" spans="8:11" ht="15" x14ac:dyDescent="0.25">
      <c r="H12"/>
      <c r="I12"/>
      <c r="J12"/>
      <c r="K12"/>
    </row>
    <row r="13" spans="8:11" ht="15" x14ac:dyDescent="0.25">
      <c r="H13"/>
      <c r="I13"/>
      <c r="J13"/>
      <c r="K13"/>
    </row>
    <row r="14" spans="8:11" ht="15" x14ac:dyDescent="0.25">
      <c r="H14"/>
      <c r="I14"/>
      <c r="J14"/>
      <c r="K14"/>
    </row>
  </sheetData>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Cantuba">
                <anchor moveWithCells="1" sizeWithCells="1">
                  <from>
                    <xdr:col>0</xdr:col>
                    <xdr:colOff>504825</xdr:colOff>
                    <xdr:row>0</xdr:row>
                    <xdr:rowOff>114300</xdr:rowOff>
                  </from>
                  <to>
                    <xdr:col>2</xdr:col>
                    <xdr:colOff>9525</xdr:colOff>
                    <xdr:row>2</xdr:row>
                    <xdr:rowOff>161925</xdr:rowOff>
                  </to>
                </anchor>
              </controlPr>
            </control>
          </mc:Choice>
        </mc:AlternateContent>
        <mc:AlternateContent xmlns:mc="http://schemas.openxmlformats.org/markup-compatibility/2006">
          <mc:Choice Requires="x14">
            <control shapeId="1026" r:id="rId6" name="Button 2">
              <controlPr defaultSize="0" print="0" autoFill="0" autoPict="0" macro="[0]!attachfile">
                <anchor moveWithCells="1" sizeWithCells="1">
                  <from>
                    <xdr:col>3</xdr:col>
                    <xdr:colOff>0</xdr:colOff>
                    <xdr:row>0</xdr:row>
                    <xdr:rowOff>133350</xdr:rowOff>
                  </from>
                  <to>
                    <xdr:col>4</xdr:col>
                    <xdr:colOff>0</xdr:colOff>
                    <xdr:row>2</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Export_Summary">
                <anchor moveWithCells="1" sizeWithCells="1">
                  <from>
                    <xdr:col>5</xdr:col>
                    <xdr:colOff>0</xdr:colOff>
                    <xdr:row>1</xdr:row>
                    <xdr:rowOff>9525</xdr:rowOff>
                  </from>
                  <to>
                    <xdr:col>6</xdr:col>
                    <xdr:colOff>9525</xdr:colOff>
                    <xdr:row>3</xdr:row>
                    <xdr:rowOff>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C6602-98F2-426F-8C33-DBB9E6F75B67}">
  <sheetPr codeName="Sheet5"/>
  <dimension ref="A1:B3"/>
  <sheetViews>
    <sheetView showGridLines="0" showRowColHeaders="0" workbookViewId="0">
      <selection activeCell="A2" sqref="A2"/>
    </sheetView>
  </sheetViews>
  <sheetFormatPr defaultRowHeight="11.25" x14ac:dyDescent="0.2"/>
  <cols>
    <col min="1" max="1" width="20" style="12" bestFit="1" customWidth="1"/>
    <col min="2" max="2" width="11.5703125" style="12" bestFit="1" customWidth="1"/>
    <col min="3" max="16384" width="9.140625" style="12"/>
  </cols>
  <sheetData>
    <row r="1" spans="1:2" x14ac:dyDescent="0.2">
      <c r="A1" s="13" t="s">
        <v>17</v>
      </c>
      <c r="B1" s="13" t="s">
        <v>157</v>
      </c>
    </row>
    <row r="2" spans="1:2" x14ac:dyDescent="0.2">
      <c r="A2" s="12" t="s">
        <v>32</v>
      </c>
      <c r="B2" s="12">
        <v>571</v>
      </c>
    </row>
    <row r="3" spans="1:2" x14ac:dyDescent="0.2">
      <c r="A3" s="12" t="s">
        <v>32</v>
      </c>
      <c r="B3" s="12">
        <v>571</v>
      </c>
    </row>
  </sheetData>
  <sheetProtection algorithmName="SHA-512" hashValue="LCTAj9LHcMbPgVK1jLwQblnnfZSTVJh53IR5z73yTHfjWG4L6dZM7xuWcoVa1HXQWdKUv0jKBzjiqP/7/IBi6Q==" saltValue="HG0T56i6PSHUmz0qHKD3Fg==" spinCount="100000" sheet="1" objects="1" scenarios="1"/>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36E7C-CD17-4818-B3EA-4543F4C2C022}">
  <sheetPr codeName="Sheet4"/>
  <dimension ref="A1:P4"/>
  <sheetViews>
    <sheetView showGridLines="0" workbookViewId="0"/>
  </sheetViews>
  <sheetFormatPr defaultRowHeight="11.25" x14ac:dyDescent="0.2"/>
  <cols>
    <col min="1" max="1" width="15.85546875" style="12" bestFit="1" customWidth="1"/>
    <col min="2" max="2" width="10" style="12" bestFit="1" customWidth="1"/>
    <col min="3" max="3" width="31" style="12" bestFit="1" customWidth="1"/>
    <col min="4" max="4" width="7" style="12" customWidth="1"/>
    <col min="5" max="5" width="12.28515625" style="12" bestFit="1" customWidth="1"/>
    <col min="6" max="7" width="10.5703125" style="12" customWidth="1"/>
    <col min="8" max="8" width="12.28515625" style="12" bestFit="1" customWidth="1"/>
    <col min="9" max="16384" width="9.140625" style="12"/>
  </cols>
  <sheetData>
    <row r="1" spans="1:16" x14ac:dyDescent="0.2">
      <c r="A1" s="14" t="s">
        <v>159</v>
      </c>
      <c r="B1" s="14" t="s">
        <v>1</v>
      </c>
      <c r="C1" s="14" t="s">
        <v>158</v>
      </c>
      <c r="D1" s="14" t="s">
        <v>15</v>
      </c>
      <c r="E1" s="14" t="s">
        <v>168</v>
      </c>
      <c r="F1" s="14" t="s">
        <v>169</v>
      </c>
      <c r="G1" s="14" t="s">
        <v>160</v>
      </c>
      <c r="H1" s="14" t="s">
        <v>161</v>
      </c>
      <c r="I1" s="14" t="s">
        <v>162</v>
      </c>
      <c r="J1" s="14" t="s">
        <v>163</v>
      </c>
      <c r="K1" s="14" t="s">
        <v>164</v>
      </c>
      <c r="L1" s="14" t="s">
        <v>165</v>
      </c>
      <c r="M1" s="14" t="s">
        <v>166</v>
      </c>
      <c r="N1" s="14" t="s">
        <v>167</v>
      </c>
      <c r="O1" s="14" t="s">
        <v>170</v>
      </c>
    </row>
    <row r="2" spans="1:16" x14ac:dyDescent="0.2">
      <c r="A2" s="15">
        <v>43202.81527777778</v>
      </c>
      <c r="B2" s="12" t="s">
        <v>7</v>
      </c>
      <c r="C2" s="12" t="s">
        <v>153</v>
      </c>
      <c r="E2" s="26">
        <f>Table1[[#This Row],[Timestamp]]</f>
        <v>43202.81527777778</v>
      </c>
      <c r="F2" s="26">
        <f t="shared" ref="F2:F4" si="0">IF(E3="","-",E3)</f>
        <v>43202.856944444444</v>
      </c>
      <c r="G2" s="17">
        <f>IF(Table1[[#This Row],[Time End]]="-","-",(Table1[[#This Row],[Time End]]-Table1[[#This Row],[Time Start]]))</f>
        <v>4.1666666664241347E-2</v>
      </c>
      <c r="H2" s="18">
        <f>INT(Table1[[#This Row],[Timestamp]])</f>
        <v>43202</v>
      </c>
      <c r="I2" s="12" t="str">
        <f>TEXT((Table1[[#This Row],[Shift Date]]+7-WEEKDAY(Table1[[#This Row],[Shift Date]],1)),"dd-mmm")</f>
        <v>14-Apr</v>
      </c>
      <c r="J2" s="12" t="str">
        <f>TEXT(Table1[[#This Row],[Shift Date]],"mmm")</f>
        <v>Apr</v>
      </c>
      <c r="K2" s="12" t="str">
        <f>IFERROR("Quarter" &amp; " " &amp; ROUNDUP(MONTH(Table1[[#This Row],[Shift Date]])/3,0),"Date assigned not specified")</f>
        <v>Quarter 2</v>
      </c>
      <c r="L2" s="12">
        <f>YEAR(Table1[[#This Row],[Shift Date]])</f>
        <v>2018</v>
      </c>
      <c r="M2" s="19">
        <f>Table1[[#This Row],[Time Spent]]*24</f>
        <v>0.99999999994179234</v>
      </c>
      <c r="N2" s="20">
        <f>MIN(Table1[[#This Row],[Time Spent]])</f>
        <v>4.1666666664241347E-2</v>
      </c>
      <c r="O2" s="21">
        <f>_xlfn.SEC(Table1[[#This Row],[Time Spent]])</f>
        <v>1.0008686839328058</v>
      </c>
      <c r="P2" s="16"/>
    </row>
    <row r="3" spans="1:16" x14ac:dyDescent="0.2">
      <c r="A3" s="15">
        <v>43202.856944444444</v>
      </c>
      <c r="B3" s="12" t="s">
        <v>7</v>
      </c>
      <c r="C3" s="12" t="s">
        <v>153</v>
      </c>
      <c r="D3" s="12" t="s">
        <v>176</v>
      </c>
      <c r="E3" s="26">
        <f>Table1[[#This Row],[Timestamp]]</f>
        <v>43202.856944444444</v>
      </c>
      <c r="F3" s="26">
        <f t="shared" si="0"/>
        <v>43202.857638888891</v>
      </c>
      <c r="G3" s="17">
        <f>IF(Table1[[#This Row],[Time End]]="-","-",(Table1[[#This Row],[Time End]]-Table1[[#This Row],[Time Start]]))</f>
        <v>6.944444467080757E-4</v>
      </c>
      <c r="H3" s="18">
        <f>INT(Table1[[#This Row],[Timestamp]])</f>
        <v>43202</v>
      </c>
      <c r="I3" s="22" t="str">
        <f>TEXT((Table1[[#This Row],[Shift Date]]+7-WEEKDAY(Table1[[#This Row],[Shift Date]],1)),"dd-mmm")</f>
        <v>14-Apr</v>
      </c>
      <c r="J3" s="22" t="str">
        <f>TEXT(Table1[[#This Row],[Shift Date]],"mmm")</f>
        <v>Apr</v>
      </c>
      <c r="K3" s="22" t="str">
        <f>IFERROR("Quarter" &amp; " " &amp; ROUNDUP(MONTH(Table1[[#This Row],[Shift Date]])/3,0),"Date assigned not specified")</f>
        <v>Quarter 2</v>
      </c>
      <c r="L3" s="22">
        <f>YEAR(Table1[[#This Row],[Shift Date]])</f>
        <v>2018</v>
      </c>
      <c r="M3" s="19">
        <f>Table1[[#This Row],[Time Spent]]*24</f>
        <v>1.6666666720993817E-2</v>
      </c>
      <c r="N3" s="20">
        <f>MIN(Table1[[#This Row],[Time Spent]])</f>
        <v>6.944444467080757E-4</v>
      </c>
      <c r="O3" s="21">
        <f>_xlfn.SEC(Table1[[#This Row],[Time Spent]])</f>
        <v>1.0000002411265931</v>
      </c>
    </row>
    <row r="4" spans="1:16" x14ac:dyDescent="0.2">
      <c r="A4" s="15">
        <v>43202.857638888891</v>
      </c>
      <c r="B4" s="12" t="s">
        <v>10</v>
      </c>
      <c r="C4" s="12" t="s">
        <v>153</v>
      </c>
      <c r="D4" s="12" t="s">
        <v>177</v>
      </c>
      <c r="E4" s="26">
        <f>Table1[[#This Row],[Timestamp]]</f>
        <v>43202.857638888891</v>
      </c>
      <c r="F4" s="26" t="str">
        <f t="shared" si="0"/>
        <v>-</v>
      </c>
      <c r="G4" s="17" t="str">
        <f>IF(Table1[[#This Row],[Time End]]="-","-",(Table1[[#This Row],[Time End]]-Table1[[#This Row],[Time Start]]))</f>
        <v>-</v>
      </c>
      <c r="H4" s="18">
        <f>INT(Table1[[#This Row],[Timestamp]])</f>
        <v>43202</v>
      </c>
      <c r="I4" s="22" t="str">
        <f>TEXT((Table1[[#This Row],[Shift Date]]+7-WEEKDAY(Table1[[#This Row],[Shift Date]],1)),"dd-mmm")</f>
        <v>14-Apr</v>
      </c>
      <c r="J4" s="22" t="str">
        <f>TEXT(Table1[[#This Row],[Shift Date]],"mmm")</f>
        <v>Apr</v>
      </c>
      <c r="K4" s="22" t="str">
        <f>IFERROR("Quarter" &amp; " " &amp; ROUNDUP(MONTH(Table1[[#This Row],[Shift Date]])/3,0),"Date assigned not specified")</f>
        <v>Quarter 2</v>
      </c>
      <c r="L4" s="22">
        <f>YEAR(Table1[[#This Row],[Shift Date]])</f>
        <v>2018</v>
      </c>
      <c r="M4" s="19" t="e">
        <f>Table1[[#This Row],[Time Spent]]*24</f>
        <v>#VALUE!</v>
      </c>
      <c r="N4" s="20">
        <f>MIN(Table1[[#This Row],[Time Spent]])</f>
        <v>0</v>
      </c>
      <c r="O4" s="21" t="e">
        <f>_xlfn.SEC(Table1[[#This Row],[Time Spent]])</f>
        <v>#VALUE!</v>
      </c>
    </row>
  </sheetData>
  <sheetProtection algorithmName="SHA-512" hashValue="TpRh/+ih/Pc99TuIAT8l41ML/ELx6AYZttw2SqBz7TLlcCgA1YhlmCJgl98i68zKojjxACGu15ONH8Bq4/ZSPQ==" saltValue="JG9VnHle7vEeI9I7ac1vgA==" spinCount="100000" sheet="1" objects="1" scenarios="1"/>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4C236-7E19-411A-A8CF-A8AA67650FD7}">
  <sheetPr codeName="Sheet1"/>
  <dimension ref="A1:E14"/>
  <sheetViews>
    <sheetView workbookViewId="0">
      <selection activeCell="D23" sqref="D23"/>
    </sheetView>
  </sheetViews>
  <sheetFormatPr defaultRowHeight="15" x14ac:dyDescent="0.25"/>
  <cols>
    <col min="1" max="1" width="15.7109375" customWidth="1"/>
    <col min="2" max="2" width="31.140625" customWidth="1"/>
    <col min="3" max="3" width="2.7109375" customWidth="1"/>
    <col min="4" max="4" width="24.7109375" bestFit="1" customWidth="1"/>
    <col min="5" max="5" width="31.140625" customWidth="1"/>
    <col min="6" max="6" width="15.7109375" customWidth="1"/>
    <col min="7" max="7" width="24.7109375" customWidth="1"/>
  </cols>
  <sheetData>
    <row r="1" spans="1:5" x14ac:dyDescent="0.25">
      <c r="A1" s="27" t="s">
        <v>154</v>
      </c>
      <c r="B1" s="27"/>
      <c r="D1" s="28" t="s">
        <v>155</v>
      </c>
      <c r="E1" s="28"/>
    </row>
    <row r="2" spans="1:5" x14ac:dyDescent="0.25">
      <c r="A2" s="2" t="s">
        <v>0</v>
      </c>
      <c r="B2" s="3" t="s">
        <v>151</v>
      </c>
      <c r="D2" s="2" t="s">
        <v>82</v>
      </c>
      <c r="E2" s="3" t="s">
        <v>88</v>
      </c>
    </row>
    <row r="3" spans="1:5" x14ac:dyDescent="0.25">
      <c r="A3" s="1" t="s">
        <v>83</v>
      </c>
      <c r="B3" s="10" t="s">
        <v>84</v>
      </c>
    </row>
    <row r="4" spans="1:5" x14ac:dyDescent="0.25">
      <c r="D4" s="2" t="s">
        <v>1</v>
      </c>
      <c r="E4" s="3" t="s">
        <v>5</v>
      </c>
    </row>
    <row r="5" spans="1:5" x14ac:dyDescent="0.25">
      <c r="A5" s="2" t="s">
        <v>156</v>
      </c>
      <c r="B5" s="3" t="s">
        <v>152</v>
      </c>
      <c r="E5" s="4" t="s">
        <v>6</v>
      </c>
    </row>
    <row r="6" spans="1:5" x14ac:dyDescent="0.25">
      <c r="B6" s="4" t="s">
        <v>71</v>
      </c>
      <c r="E6" s="4" t="s">
        <v>7</v>
      </c>
    </row>
    <row r="7" spans="1:5" x14ac:dyDescent="0.25">
      <c r="B7" s="4" t="s">
        <v>3</v>
      </c>
      <c r="E7" s="4" t="s">
        <v>9</v>
      </c>
    </row>
    <row r="8" spans="1:5" x14ac:dyDescent="0.25">
      <c r="B8" s="4" t="s">
        <v>4</v>
      </c>
      <c r="E8" s="4" t="s">
        <v>12</v>
      </c>
    </row>
    <row r="9" spans="1:5" x14ac:dyDescent="0.25">
      <c r="B9" s="4" t="s">
        <v>153</v>
      </c>
      <c r="E9" s="4" t="s">
        <v>8</v>
      </c>
    </row>
    <row r="10" spans="1:5" x14ac:dyDescent="0.25">
      <c r="B10" s="4" t="s">
        <v>46</v>
      </c>
      <c r="E10" s="4" t="s">
        <v>13</v>
      </c>
    </row>
    <row r="11" spans="1:5" x14ac:dyDescent="0.25">
      <c r="B11" s="4"/>
      <c r="E11" s="4" t="s">
        <v>10</v>
      </c>
    </row>
    <row r="12" spans="1:5" x14ac:dyDescent="0.25">
      <c r="E12" s="4" t="s">
        <v>11</v>
      </c>
    </row>
    <row r="14" spans="1:5" x14ac:dyDescent="0.25">
      <c r="D14" s="2" t="s">
        <v>15</v>
      </c>
      <c r="E14" s="3" t="s">
        <v>14</v>
      </c>
    </row>
  </sheetData>
  <mergeCells count="2">
    <mergeCell ref="A1:B1"/>
    <mergeCell ref="D1:E1"/>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BEBE8-B886-4DA1-BFA8-3DFF526904B1}">
  <sheetPr codeName="Sheet2"/>
  <dimension ref="A1:F45"/>
  <sheetViews>
    <sheetView zoomScaleNormal="100" workbookViewId="0"/>
  </sheetViews>
  <sheetFormatPr defaultRowHeight="12.75" x14ac:dyDescent="0.2"/>
  <cols>
    <col min="1" max="1" width="12.85546875" style="9" bestFit="1" customWidth="1"/>
    <col min="2" max="2" width="26.7109375" style="9" bestFit="1" customWidth="1"/>
    <col min="3" max="3" width="25.140625" style="9" bestFit="1" customWidth="1"/>
    <col min="4" max="4" width="32.28515625" style="9" bestFit="1" customWidth="1"/>
    <col min="5" max="5" width="18.28515625" style="9" bestFit="1" customWidth="1"/>
    <col min="6" max="6" width="16.7109375" style="9" bestFit="1" customWidth="1"/>
    <col min="7" max="16384" width="9.140625" style="9"/>
  </cols>
  <sheetData>
    <row r="1" spans="1:6" s="7" customFormat="1" x14ac:dyDescent="0.2">
      <c r="A1" s="5" t="s">
        <v>16</v>
      </c>
      <c r="B1" s="5" t="s">
        <v>17</v>
      </c>
      <c r="C1" s="5" t="s">
        <v>18</v>
      </c>
      <c r="D1" s="5" t="s">
        <v>19</v>
      </c>
      <c r="E1" s="6" t="s">
        <v>20</v>
      </c>
      <c r="F1" s="6" t="s">
        <v>174</v>
      </c>
    </row>
    <row r="2" spans="1:6" x14ac:dyDescent="0.2">
      <c r="A2" s="8">
        <v>552</v>
      </c>
      <c r="B2" s="8" t="s">
        <v>21</v>
      </c>
      <c r="C2" s="9" t="s">
        <v>22</v>
      </c>
      <c r="D2" s="9" t="s">
        <v>23</v>
      </c>
      <c r="E2" s="9" t="s">
        <v>24</v>
      </c>
      <c r="F2" s="9" t="s">
        <v>175</v>
      </c>
    </row>
    <row r="3" spans="1:6" x14ac:dyDescent="0.2">
      <c r="A3" s="8">
        <v>522</v>
      </c>
      <c r="B3" s="8" t="s">
        <v>25</v>
      </c>
      <c r="C3" s="9" t="s">
        <v>22</v>
      </c>
      <c r="D3" s="9" t="s">
        <v>26</v>
      </c>
      <c r="E3" s="9" t="s">
        <v>24</v>
      </c>
      <c r="F3" s="9" t="s">
        <v>175</v>
      </c>
    </row>
    <row r="4" spans="1:6" x14ac:dyDescent="0.2">
      <c r="A4" s="8">
        <v>553</v>
      </c>
      <c r="B4" s="8" t="s">
        <v>27</v>
      </c>
      <c r="C4" s="9" t="s">
        <v>22</v>
      </c>
      <c r="D4" s="9" t="s">
        <v>23</v>
      </c>
      <c r="E4" s="9" t="s">
        <v>24</v>
      </c>
      <c r="F4" s="9" t="s">
        <v>175</v>
      </c>
    </row>
    <row r="5" spans="1:6" x14ac:dyDescent="0.2">
      <c r="A5" s="8">
        <v>554</v>
      </c>
      <c r="B5" s="8" t="s">
        <v>28</v>
      </c>
      <c r="C5" s="9" t="s">
        <v>22</v>
      </c>
      <c r="D5" s="9" t="s">
        <v>23</v>
      </c>
      <c r="E5" s="9" t="s">
        <v>24</v>
      </c>
      <c r="F5" s="9" t="s">
        <v>175</v>
      </c>
    </row>
    <row r="6" spans="1:6" x14ac:dyDescent="0.2">
      <c r="A6" s="8">
        <v>542</v>
      </c>
      <c r="B6" s="8" t="s">
        <v>29</v>
      </c>
      <c r="C6" s="9" t="s">
        <v>22</v>
      </c>
      <c r="D6" s="9" t="s">
        <v>30</v>
      </c>
      <c r="E6" s="9" t="s">
        <v>24</v>
      </c>
      <c r="F6" s="9" t="s">
        <v>175</v>
      </c>
    </row>
    <row r="7" spans="1:6" x14ac:dyDescent="0.2">
      <c r="A7" s="8">
        <v>523</v>
      </c>
      <c r="B7" s="8" t="s">
        <v>31</v>
      </c>
      <c r="C7" s="9" t="s">
        <v>22</v>
      </c>
      <c r="D7" s="9" t="s">
        <v>23</v>
      </c>
      <c r="E7" s="9" t="s">
        <v>24</v>
      </c>
      <c r="F7" s="9" t="s">
        <v>175</v>
      </c>
    </row>
    <row r="8" spans="1:6" x14ac:dyDescent="0.2">
      <c r="A8" s="8">
        <v>571</v>
      </c>
      <c r="B8" s="8" t="s">
        <v>32</v>
      </c>
      <c r="C8" s="9" t="s">
        <v>22</v>
      </c>
      <c r="D8" s="9" t="s">
        <v>26</v>
      </c>
      <c r="E8" s="9" t="s">
        <v>24</v>
      </c>
      <c r="F8" s="9" t="s">
        <v>175</v>
      </c>
    </row>
    <row r="9" spans="1:6" x14ac:dyDescent="0.2">
      <c r="A9" s="8">
        <v>532</v>
      </c>
      <c r="B9" s="8" t="s">
        <v>33</v>
      </c>
      <c r="C9" s="9" t="s">
        <v>22</v>
      </c>
      <c r="D9" s="9" t="s">
        <v>23</v>
      </c>
      <c r="E9" s="9" t="s">
        <v>24</v>
      </c>
      <c r="F9" s="9" t="s">
        <v>175</v>
      </c>
    </row>
    <row r="10" spans="1:6" x14ac:dyDescent="0.2">
      <c r="A10" s="8">
        <v>544</v>
      </c>
      <c r="B10" s="8" t="s">
        <v>34</v>
      </c>
      <c r="C10" s="9" t="s">
        <v>22</v>
      </c>
      <c r="D10" s="9" t="s">
        <v>26</v>
      </c>
      <c r="E10" s="9" t="s">
        <v>24</v>
      </c>
      <c r="F10" s="9" t="s">
        <v>175</v>
      </c>
    </row>
    <row r="11" spans="1:6" x14ac:dyDescent="0.2">
      <c r="A11" s="8">
        <v>543</v>
      </c>
      <c r="B11" s="8" t="s">
        <v>35</v>
      </c>
      <c r="C11" s="9" t="s">
        <v>22</v>
      </c>
      <c r="D11" s="9" t="s">
        <v>30</v>
      </c>
      <c r="E11" s="9" t="s">
        <v>24</v>
      </c>
      <c r="F11" s="9" t="s">
        <v>175</v>
      </c>
    </row>
    <row r="12" spans="1:6" x14ac:dyDescent="0.2">
      <c r="A12" s="8">
        <v>551</v>
      </c>
      <c r="B12" s="8" t="s">
        <v>40</v>
      </c>
      <c r="C12" s="9" t="s">
        <v>36</v>
      </c>
      <c r="D12" s="9" t="s">
        <v>41</v>
      </c>
      <c r="E12" s="9" t="s">
        <v>24</v>
      </c>
      <c r="F12" s="9" t="s">
        <v>175</v>
      </c>
    </row>
    <row r="13" spans="1:6" x14ac:dyDescent="0.2">
      <c r="A13" s="8">
        <v>539</v>
      </c>
      <c r="B13" s="8" t="s">
        <v>42</v>
      </c>
      <c r="C13" s="9" t="s">
        <v>36</v>
      </c>
      <c r="D13" s="9" t="s">
        <v>41</v>
      </c>
      <c r="E13" s="9" t="s">
        <v>43</v>
      </c>
      <c r="F13" s="9" t="s">
        <v>175</v>
      </c>
    </row>
    <row r="14" spans="1:6" x14ac:dyDescent="0.2">
      <c r="A14" s="8">
        <v>545</v>
      </c>
      <c r="B14" s="8" t="s">
        <v>44</v>
      </c>
      <c r="C14" s="9" t="s">
        <v>36</v>
      </c>
      <c r="D14" s="9" t="s">
        <v>41</v>
      </c>
      <c r="E14" s="9" t="s">
        <v>24</v>
      </c>
      <c r="F14" s="9" t="s">
        <v>175</v>
      </c>
    </row>
    <row r="15" spans="1:6" x14ac:dyDescent="0.2">
      <c r="A15" s="8">
        <v>527</v>
      </c>
      <c r="B15" s="8" t="s">
        <v>45</v>
      </c>
      <c r="C15" s="9" t="s">
        <v>39</v>
      </c>
      <c r="D15" s="9" t="s">
        <v>46</v>
      </c>
      <c r="E15" s="9" t="s">
        <v>43</v>
      </c>
      <c r="F15" s="9" t="s">
        <v>175</v>
      </c>
    </row>
    <row r="16" spans="1:6" x14ac:dyDescent="0.2">
      <c r="A16" s="8">
        <v>547</v>
      </c>
      <c r="B16" s="8" t="s">
        <v>47</v>
      </c>
      <c r="C16" s="9" t="s">
        <v>37</v>
      </c>
      <c r="D16" s="9" t="s">
        <v>61</v>
      </c>
      <c r="E16" s="9" t="s">
        <v>24</v>
      </c>
      <c r="F16" s="9" t="s">
        <v>175</v>
      </c>
    </row>
    <row r="17" spans="1:6" x14ac:dyDescent="0.2">
      <c r="A17" s="8">
        <v>524</v>
      </c>
      <c r="B17" s="8" t="s">
        <v>48</v>
      </c>
      <c r="C17" s="9" t="s">
        <v>39</v>
      </c>
      <c r="D17" s="9" t="s">
        <v>46</v>
      </c>
      <c r="E17" s="9" t="s">
        <v>24</v>
      </c>
      <c r="F17" s="9" t="s">
        <v>175</v>
      </c>
    </row>
    <row r="18" spans="1:6" x14ac:dyDescent="0.2">
      <c r="A18" s="8">
        <v>546</v>
      </c>
      <c r="B18" s="8" t="s">
        <v>49</v>
      </c>
      <c r="C18" s="9" t="s">
        <v>39</v>
      </c>
      <c r="D18" s="9" t="s">
        <v>46</v>
      </c>
      <c r="E18" s="9" t="s">
        <v>24</v>
      </c>
      <c r="F18" s="9" t="s">
        <v>175</v>
      </c>
    </row>
    <row r="19" spans="1:6" x14ac:dyDescent="0.2">
      <c r="A19" s="8">
        <v>538</v>
      </c>
      <c r="B19" s="8" t="s">
        <v>50</v>
      </c>
      <c r="C19" s="9" t="s">
        <v>39</v>
      </c>
      <c r="D19" s="9" t="s">
        <v>46</v>
      </c>
      <c r="E19" s="9" t="s">
        <v>24</v>
      </c>
      <c r="F19" s="9" t="s">
        <v>175</v>
      </c>
    </row>
    <row r="20" spans="1:6" x14ac:dyDescent="0.2">
      <c r="A20" s="8">
        <v>561</v>
      </c>
      <c r="B20" s="8" t="s">
        <v>51</v>
      </c>
      <c r="C20" s="9" t="s">
        <v>22</v>
      </c>
      <c r="D20" s="9" t="s">
        <v>23</v>
      </c>
      <c r="E20" s="9" t="s">
        <v>43</v>
      </c>
      <c r="F20" s="9" t="s">
        <v>175</v>
      </c>
    </row>
    <row r="21" spans="1:6" x14ac:dyDescent="0.2">
      <c r="A21" s="8">
        <v>565</v>
      </c>
      <c r="B21" s="8" t="s">
        <v>52</v>
      </c>
      <c r="C21" s="9" t="s">
        <v>39</v>
      </c>
      <c r="D21" s="9" t="s">
        <v>46</v>
      </c>
      <c r="E21" s="9" t="s">
        <v>43</v>
      </c>
      <c r="F21" s="9" t="s">
        <v>175</v>
      </c>
    </row>
    <row r="22" spans="1:6" x14ac:dyDescent="0.2">
      <c r="A22" s="8">
        <v>528</v>
      </c>
      <c r="B22" s="8" t="s">
        <v>53</v>
      </c>
      <c r="C22" s="9" t="s">
        <v>38</v>
      </c>
      <c r="D22" s="9" t="s">
        <v>71</v>
      </c>
      <c r="E22" s="9" t="s">
        <v>24</v>
      </c>
      <c r="F22" s="9" t="s">
        <v>175</v>
      </c>
    </row>
    <row r="23" spans="1:6" x14ac:dyDescent="0.2">
      <c r="A23" s="8">
        <v>563</v>
      </c>
      <c r="B23" s="8" t="s">
        <v>54</v>
      </c>
      <c r="C23" s="9" t="s">
        <v>38</v>
      </c>
      <c r="D23" s="9" t="s">
        <v>71</v>
      </c>
      <c r="E23" s="9" t="s">
        <v>43</v>
      </c>
      <c r="F23" s="9" t="s">
        <v>175</v>
      </c>
    </row>
    <row r="24" spans="1:6" x14ac:dyDescent="0.2">
      <c r="A24" s="8">
        <v>564</v>
      </c>
      <c r="B24" s="8" t="s">
        <v>55</v>
      </c>
      <c r="C24" s="9" t="s">
        <v>38</v>
      </c>
      <c r="D24" s="9" t="s">
        <v>71</v>
      </c>
      <c r="E24" s="9" t="s">
        <v>24</v>
      </c>
      <c r="F24" s="9" t="s">
        <v>175</v>
      </c>
    </row>
    <row r="25" spans="1:6" x14ac:dyDescent="0.2">
      <c r="A25" s="8">
        <v>526</v>
      </c>
      <c r="B25" s="8" t="s">
        <v>56</v>
      </c>
      <c r="C25" s="9" t="s">
        <v>38</v>
      </c>
      <c r="D25" s="9" t="s">
        <v>71</v>
      </c>
      <c r="E25" s="9" t="s">
        <v>24</v>
      </c>
      <c r="F25" s="9" t="s">
        <v>175</v>
      </c>
    </row>
    <row r="26" spans="1:6" x14ac:dyDescent="0.2">
      <c r="A26" s="8">
        <v>549</v>
      </c>
      <c r="B26" s="8" t="s">
        <v>57</v>
      </c>
      <c r="C26" s="9" t="s">
        <v>38</v>
      </c>
      <c r="D26" s="9" t="s">
        <v>71</v>
      </c>
      <c r="E26" s="9" t="s">
        <v>43</v>
      </c>
      <c r="F26" s="9" t="s">
        <v>175</v>
      </c>
    </row>
    <row r="27" spans="1:6" x14ac:dyDescent="0.2">
      <c r="A27" s="8">
        <v>534</v>
      </c>
      <c r="B27" s="8" t="s">
        <v>58</v>
      </c>
      <c r="C27" s="9" t="s">
        <v>38</v>
      </c>
      <c r="D27" s="9" t="s">
        <v>71</v>
      </c>
      <c r="E27" s="9" t="s">
        <v>43</v>
      </c>
      <c r="F27" s="9" t="s">
        <v>175</v>
      </c>
    </row>
    <row r="28" spans="1:6" x14ac:dyDescent="0.2">
      <c r="A28" s="8">
        <v>550</v>
      </c>
      <c r="B28" s="8" t="s">
        <v>59</v>
      </c>
      <c r="C28" s="9" t="s">
        <v>38</v>
      </c>
      <c r="D28" s="9" t="s">
        <v>71</v>
      </c>
      <c r="E28" s="9" t="s">
        <v>24</v>
      </c>
      <c r="F28" s="9" t="s">
        <v>175</v>
      </c>
    </row>
    <row r="29" spans="1:6" x14ac:dyDescent="0.2">
      <c r="A29" s="8">
        <v>568</v>
      </c>
      <c r="B29" s="8" t="s">
        <v>60</v>
      </c>
      <c r="C29" s="9" t="s">
        <v>37</v>
      </c>
      <c r="D29" s="9" t="s">
        <v>61</v>
      </c>
      <c r="E29" s="9" t="s">
        <v>43</v>
      </c>
      <c r="F29" s="9" t="s">
        <v>175</v>
      </c>
    </row>
    <row r="30" spans="1:6" x14ac:dyDescent="0.2">
      <c r="A30" s="8">
        <v>540</v>
      </c>
      <c r="B30" s="8" t="s">
        <v>62</v>
      </c>
      <c r="C30" s="9" t="s">
        <v>37</v>
      </c>
      <c r="D30" s="9" t="s">
        <v>61</v>
      </c>
      <c r="E30" s="9" t="s">
        <v>24</v>
      </c>
      <c r="F30" s="9" t="s">
        <v>175</v>
      </c>
    </row>
    <row r="31" spans="1:6" x14ac:dyDescent="0.2">
      <c r="A31" s="8">
        <v>530</v>
      </c>
      <c r="B31" s="8" t="s">
        <v>63</v>
      </c>
      <c r="C31" s="9" t="s">
        <v>37</v>
      </c>
      <c r="D31" s="9" t="s">
        <v>61</v>
      </c>
      <c r="E31" s="9" t="s">
        <v>24</v>
      </c>
      <c r="F31" s="9" t="s">
        <v>175</v>
      </c>
    </row>
    <row r="32" spans="1:6" x14ac:dyDescent="0.2">
      <c r="A32" s="8">
        <v>525</v>
      </c>
      <c r="B32" s="8" t="s">
        <v>64</v>
      </c>
      <c r="C32" s="9" t="s">
        <v>37</v>
      </c>
      <c r="D32" s="9" t="s">
        <v>61</v>
      </c>
      <c r="E32" s="9" t="s">
        <v>24</v>
      </c>
      <c r="F32" s="9" t="s">
        <v>175</v>
      </c>
    </row>
    <row r="33" spans="1:6" x14ac:dyDescent="0.2">
      <c r="A33" s="8">
        <v>541</v>
      </c>
      <c r="B33" s="8" t="s">
        <v>65</v>
      </c>
      <c r="C33" s="9" t="s">
        <v>37</v>
      </c>
      <c r="D33" s="9" t="s">
        <v>61</v>
      </c>
      <c r="E33" s="9" t="s">
        <v>24</v>
      </c>
      <c r="F33" s="9" t="s">
        <v>175</v>
      </c>
    </row>
    <row r="34" spans="1:6" x14ac:dyDescent="0.2">
      <c r="A34" s="8">
        <v>562</v>
      </c>
      <c r="B34" s="8" t="s">
        <v>66</v>
      </c>
      <c r="C34" s="9" t="s">
        <v>37</v>
      </c>
      <c r="D34" s="9" t="s">
        <v>61</v>
      </c>
      <c r="E34" s="9" t="s">
        <v>43</v>
      </c>
      <c r="F34" s="9" t="s">
        <v>175</v>
      </c>
    </row>
    <row r="35" spans="1:6" x14ac:dyDescent="0.2">
      <c r="A35" s="9">
        <v>533</v>
      </c>
      <c r="B35" s="9" t="s">
        <v>67</v>
      </c>
      <c r="C35" s="9" t="s">
        <v>38</v>
      </c>
      <c r="D35" s="9" t="s">
        <v>71</v>
      </c>
      <c r="E35" s="9" t="s">
        <v>68</v>
      </c>
      <c r="F35" s="9" t="s">
        <v>175</v>
      </c>
    </row>
    <row r="36" spans="1:6" x14ac:dyDescent="0.2">
      <c r="A36" s="9">
        <v>17</v>
      </c>
      <c r="B36" s="9" t="s">
        <v>69</v>
      </c>
      <c r="C36" s="9" t="s">
        <v>70</v>
      </c>
      <c r="D36" s="9" t="s">
        <v>71</v>
      </c>
      <c r="E36" s="9" t="s">
        <v>43</v>
      </c>
      <c r="F36" s="9" t="s">
        <v>175</v>
      </c>
    </row>
    <row r="37" spans="1:6" x14ac:dyDescent="0.2">
      <c r="A37" s="9">
        <v>29</v>
      </c>
      <c r="B37" s="9" t="s">
        <v>72</v>
      </c>
      <c r="C37" s="9" t="s">
        <v>70</v>
      </c>
      <c r="D37" s="9" t="s">
        <v>71</v>
      </c>
      <c r="E37" s="9" t="s">
        <v>43</v>
      </c>
      <c r="F37" s="9" t="s">
        <v>175</v>
      </c>
    </row>
    <row r="38" spans="1:6" x14ac:dyDescent="0.2">
      <c r="A38" s="9">
        <v>5</v>
      </c>
      <c r="B38" s="9" t="s">
        <v>73</v>
      </c>
      <c r="C38" s="9" t="s">
        <v>70</v>
      </c>
      <c r="D38" s="9" t="s">
        <v>71</v>
      </c>
      <c r="E38" s="9" t="s">
        <v>74</v>
      </c>
      <c r="F38" s="9" t="s">
        <v>175</v>
      </c>
    </row>
    <row r="39" spans="1:6" x14ac:dyDescent="0.2">
      <c r="A39" s="9">
        <v>27</v>
      </c>
      <c r="B39" s="9" t="s">
        <v>75</v>
      </c>
      <c r="C39" s="9" t="s">
        <v>70</v>
      </c>
      <c r="D39" s="9" t="s">
        <v>71</v>
      </c>
      <c r="E39" s="9" t="s">
        <v>24</v>
      </c>
      <c r="F39" s="9" t="s">
        <v>175</v>
      </c>
    </row>
    <row r="40" spans="1:6" x14ac:dyDescent="0.2">
      <c r="A40" s="9">
        <v>31</v>
      </c>
      <c r="B40" s="9" t="s">
        <v>76</v>
      </c>
      <c r="C40" s="9" t="s">
        <v>70</v>
      </c>
      <c r="D40" s="9" t="s">
        <v>71</v>
      </c>
      <c r="E40" s="9" t="s">
        <v>24</v>
      </c>
      <c r="F40" s="9" t="s">
        <v>175</v>
      </c>
    </row>
    <row r="41" spans="1:6" x14ac:dyDescent="0.2">
      <c r="A41" s="9">
        <v>15</v>
      </c>
      <c r="B41" s="9" t="s">
        <v>77</v>
      </c>
      <c r="C41" s="9" t="s">
        <v>70</v>
      </c>
      <c r="D41" s="9" t="s">
        <v>71</v>
      </c>
      <c r="E41" s="9" t="s">
        <v>24</v>
      </c>
      <c r="F41" s="9" t="s">
        <v>175</v>
      </c>
    </row>
    <row r="42" spans="1:6" x14ac:dyDescent="0.2">
      <c r="A42" s="9">
        <v>16</v>
      </c>
      <c r="B42" s="9" t="s">
        <v>78</v>
      </c>
      <c r="C42" s="9" t="s">
        <v>38</v>
      </c>
      <c r="D42" s="9" t="s">
        <v>71</v>
      </c>
      <c r="E42" s="9" t="s">
        <v>43</v>
      </c>
      <c r="F42" s="9" t="s">
        <v>175</v>
      </c>
    </row>
    <row r="43" spans="1:6" x14ac:dyDescent="0.2">
      <c r="A43" s="9">
        <v>33</v>
      </c>
      <c r="B43" s="9" t="s">
        <v>79</v>
      </c>
      <c r="C43" s="9" t="s">
        <v>38</v>
      </c>
      <c r="D43" s="9" t="s">
        <v>71</v>
      </c>
      <c r="E43" s="9" t="s">
        <v>24</v>
      </c>
      <c r="F43" s="9" t="s">
        <v>175</v>
      </c>
    </row>
    <row r="44" spans="1:6" x14ac:dyDescent="0.2">
      <c r="A44" s="9">
        <v>9964</v>
      </c>
      <c r="B44" s="9" t="s">
        <v>80</v>
      </c>
      <c r="C44" s="9" t="s">
        <v>36</v>
      </c>
      <c r="D44" s="9" t="s">
        <v>41</v>
      </c>
      <c r="E44" s="9" t="s">
        <v>24</v>
      </c>
      <c r="F44" s="9" t="s">
        <v>175</v>
      </c>
    </row>
    <row r="45" spans="1:6" x14ac:dyDescent="0.2">
      <c r="A45" s="9">
        <v>9941</v>
      </c>
      <c r="B45" s="9" t="s">
        <v>81</v>
      </c>
      <c r="C45" s="9" t="s">
        <v>36</v>
      </c>
      <c r="D45" s="9" t="s">
        <v>41</v>
      </c>
      <c r="E45" s="9" t="s">
        <v>43</v>
      </c>
      <c r="F45" s="9" t="s">
        <v>175</v>
      </c>
    </row>
  </sheetData>
  <conditionalFormatting sqref="A2:A45">
    <cfRule type="duplicateValues" dxfId="14" priority="1"/>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Data_Types</vt:lpstr>
      <vt:lpstr>Summary</vt:lpstr>
      <vt:lpstr>main</vt:lpstr>
      <vt:lpstr>database</vt:lpstr>
      <vt:lpstr>REF</vt:lpstr>
      <vt:lpstr>Roster</vt:lpstr>
      <vt:lpstr>Activity</vt:lpstr>
      <vt:lpstr>hrFunction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Cantuba, Agape Grace</dc:creator>
  <cp:lastModifiedBy>Cantuba, Agape Grace</cp:lastModifiedBy>
  <dcterms:created xsi:type="dcterms:W3CDTF">2018-11-29T05:40:39Z</dcterms:created>
  <dcterms:modified xsi:type="dcterms:W3CDTF">2018-12-04T12:40:04Z</dcterms:modified>
</cp:coreProperties>
</file>